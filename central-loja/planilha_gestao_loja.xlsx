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Parametros" sheetId="2" state="visible" r:id="rId4"/>
    <sheet name="Custos_SKU" sheetId="3" state="visible" r:id="rId5"/>
    <sheet name="Ads" sheetId="4" state="visible" r:id="rId6"/>
    <sheet name="Estoque" sheetId="5" state="visible" r:id="rId7"/>
    <sheet name="Fluxo_Caixa" sheetId="6" state="visible" r:id="rId8"/>
    <sheet name="Resultado" sheetId="7" state="visible" r:id="rId9"/>
    <sheet name="Simula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<sst xmlns="http://schemas.openxmlformats.org/spreadsheetml/2006/main" count="204" uniqueCount="190">
  <si>
    <t xml:space="preserve">Central de Gestão da Loja – Planilha base (v0.4)</t>
  </si>
  <si>
    <t xml:space="preserve">Esta planilha NÃO contém dados reais da loja. Todo valor em azul/amarelo deve ser preenchido por você com dados do Painel do Mercado Livre.</t>
  </si>
  <si>
    <t xml:space="preserve">LEGENDA DE CORES</t>
  </si>
  <si>
    <t xml:space="preserve">Texto azul = valor digitado por você (entrada). Texto preto = fórmula (não editar).</t>
  </si>
  <si>
    <t xml:space="preserve">Fundo amarelo = célula que você precisa preencher ou revisar.</t>
  </si>
  <si>
    <t xml:space="preserve">ABAS</t>
  </si>
  <si>
    <t xml:space="preserve">Parametros – regras da loja (imposto 4%, margem mínima 15%, ACOS máx. 8%, meta R$ 5.000, custos fixos). Ajuste aqui, não nas fórmulas.</t>
  </si>
  <si>
    <t xml:space="preserve">Custos_SKU – uma linha por anúncio/canal: margem de contribuição, ACOS de equilíbrio, preço mínimo e status. A linha 6 é um EXEMPLO ILUSTRATIVO: apague-a e use suas linhas.</t>
  </si>
  <si>
    <t xml:space="preserve">Ads – dados do Mercado Ads exportados do Painel; calcula ACOS, ROAS, CPC, CTR, conversão e compara com o teto do SKU.</t>
  </si>
  <si>
    <t xml:space="preserve">Estoque – estoque próprio compartilhado (ML Coleta + Shopee) separado do Full; cobertura e ponto de reposição (sem ERP, esta é a fonte única).</t>
  </si>
  <si>
    <t xml:space="preserve">Fluxo_Caixa – boletos de compra (30 dias) x entradas do ML mês a mês: mostra se o lucro virou caixa.</t>
  </si>
  <si>
    <t xml:space="preserve">Resultado – lucro líquido mensal e acumulado contra a meta.</t>
  </si>
  <si>
    <t xml:space="preserve">Simulador – quantos pedidos por mês a meta exige em diferentes margens.</t>
  </si>
  <si>
    <t xml:space="preserve">REGRAS DE DADOS</t>
  </si>
  <si>
    <t xml:space="preserve">1. Comissão e frete NÃO foram presumidos: copie-os do Painel para cada anúncio. A tarifa fixa (coluna H) usa uma HIPÓTESE de fontes de terceiros (Parametros B23:B24) e deve ser conferida no simulador oficial do Mercado Livre; sobrescreva a fórmula com o valor real.</t>
  </si>
  <si>
    <t xml:space="preserve">2. Preencha a coluna 'Origem do dado' (Real, Estimativa ou Hipótese). Só 'Real' sustenta decisões; as demais exigem validação.</t>
  </si>
  <si>
    <t xml:space="preserve">3. Margem de contribuição ≠ lucro líquido. O lucro líquido está na aba Resultado, depois dos custos fixos.</t>
  </si>
  <si>
    <t xml:space="preserve">4. ACOS de equilíbrio = margem de contribuição antes da publicidade ÷ preço de venda.</t>
  </si>
  <si>
    <t xml:space="preserve">5. Não coloque senhas, tokens, CPF/CNPJ ou dados de compradores nesta planilha.</t>
  </si>
  <si>
    <t xml:space="preserve">ORDEM DE PREENCHIMENTO SUGERIDA</t>
  </si>
  <si>
    <t xml:space="preserve">Parametros (revisar) → Custos_SKU → Ads → Estoque → Resultado (um mês por vez).</t>
  </si>
  <si>
    <t xml:space="preserve">Parâmetros da loja</t>
  </si>
  <si>
    <t xml:space="preserve">Parâmetro</t>
  </si>
  <si>
    <t xml:space="preserve">Valor</t>
  </si>
  <si>
    <t xml:space="preserve">Origem / observação</t>
  </si>
  <si>
    <t xml:space="preserve">Imposto (Simples Nacional) – alíquota efetiva</t>
  </si>
  <si>
    <t xml:space="preserve">Informado pelo proprietário. Confirmar com contador.</t>
  </si>
  <si>
    <t xml:space="preserve">Margem de contribuição mínima por produto</t>
  </si>
  <si>
    <t xml:space="preserve">Informado pelo proprietário.</t>
  </si>
  <si>
    <t xml:space="preserve">ACOS máximo</t>
  </si>
  <si>
    <t xml:space="preserve">Meta de lucro líquido (R$)</t>
  </si>
  <si>
    <t xml:space="preserve">Informado. Meta de trabalho, revisar após a 1ª auditoria.</t>
  </si>
  <si>
    <t xml:space="preserve">Prazo da meta (meses)</t>
  </si>
  <si>
    <t xml:space="preserve">Informado (90 dias).</t>
  </si>
  <si>
    <t xml:space="preserve">Contabilidade (fixo/mês)</t>
  </si>
  <si>
    <t xml:space="preserve">Outros custos fixos/mês</t>
  </si>
  <si>
    <t xml:space="preserve">A PREENCHER: sistemas, transporte ao ponto de coleta, etc.</t>
  </si>
  <si>
    <t xml:space="preserve">Total de custos fixos/mês</t>
  </si>
  <si>
    <t xml:space="preserve">Fórmula.</t>
  </si>
  <si>
    <t xml:space="preserve">Embalagem por pedido (R$)</t>
  </si>
  <si>
    <t xml:space="preserve">R$ 100 em 35 pedidos, informado. Atualizar se mudar.</t>
  </si>
  <si>
    <t xml:space="preserve">Provisão de devoluções (% do preço)</t>
  </si>
  <si>
    <t xml:space="preserve">A PREENCHER com histórico real. Zero = não considerada.</t>
  </si>
  <si>
    <t xml:space="preserve">Ticket médio atual</t>
  </si>
  <si>
    <t xml:space="preserve">Informado.</t>
  </si>
  <si>
    <t xml:space="preserve">Pedidos por mês (atual)</t>
  </si>
  <si>
    <t xml:space="preserve">Capital disponível para novo estoque</t>
  </si>
  <si>
    <t xml:space="preserve">Informado. Sem aporte adicional.</t>
  </si>
  <si>
    <t xml:space="preserve">Prazo médio de reposição (dias)</t>
  </si>
  <si>
    <t xml:space="preserve">Orçamento diário de Ads</t>
  </si>
  <si>
    <t xml:space="preserve">Informado (orçamento máximo, não gasto real).</t>
  </si>
  <si>
    <t xml:space="preserve">Estoque de segurança (dias)</t>
  </si>
  <si>
    <t xml:space="preserve">HIPÓTESE – ajustar conforme variação real da demanda.</t>
  </si>
  <si>
    <t xml:space="preserve">Prazo de pagamento ao fornecedor (dias)</t>
  </si>
  <si>
    <t xml:space="preserve">Informado: compra a prazo, boleto de 30 dias.</t>
  </si>
  <si>
    <t xml:space="preserve">Limite de crédito com o fornecedor (R$)</t>
  </si>
  <si>
    <t xml:space="preserve">A PREENCHER: quanto o fornecedor permite comprar a prazo. Zero = desconhecido.</t>
  </si>
  <si>
    <t xml:space="preserve">Prazo de liberação dos valores pelo ML (dias)</t>
  </si>
  <si>
    <t xml:space="preserve">A PREENCHER com o prazo real do seu Painel (não presumido).</t>
  </si>
  <si>
    <t xml:space="preserve">Tarifa fixa por unidade (R$) para preço abaixo do limite</t>
  </si>
  <si>
    <t xml:space="preserve">HIPÓTESE NÃO CONFIRMADA: blogs de terceiros citam R$ 6,25–6,75 (ponto médio) e, desde 02/03/2026, valor variável por peso/dimensão (~R$ 6–7 típico). Confirmar no simulador oficial do ML.</t>
  </si>
  <si>
    <t xml:space="preserve">Preço abaixo do qual a tarifa fixa se aplica (R$)</t>
  </si>
  <si>
    <t xml:space="preserve">HIPÓTESE NÃO CONFIRMADA: fontes de terceiros citam R$ 79. Conferir no Painel.</t>
  </si>
  <si>
    <t xml:space="preserve">Custos e margem por SKU / canal</t>
  </si>
  <si>
    <t xml:space="preserve">Preencha as colunas A–M (azul). As demais são fórmulas. Linha 6 = EXEMPLO ILUSTRATIVO com valores fictícios: apague antes de usar.</t>
  </si>
  <si>
    <t xml:space="preserve">SKU</t>
  </si>
  <si>
    <t xml:space="preserve">ID do anúncio</t>
  </si>
  <si>
    <t xml:space="preserve">Título</t>
  </si>
  <si>
    <t xml:space="preserve">Canal</t>
  </si>
  <si>
    <t xml:space="preserve">Preço de venda (R$)</t>
  </si>
  <si>
    <t xml:space="preserve">Custo de compra (R$)</t>
  </si>
  <si>
    <t xml:space="preserve">Comissão ML (% do preço)</t>
  </si>
  <si>
    <t xml:space="preserve">Tarifa fixa ML (R$/un)</t>
  </si>
  <si>
    <t xml:space="preserve">Frete pago pelo vendedor (R$/un)</t>
  </si>
  <si>
    <t xml:space="preserve">Embalagem (R$/un)</t>
  </si>
  <si>
    <t xml:space="preserve">Devoluções (% do preço)</t>
  </si>
  <si>
    <t xml:space="preserve">Publicidade por unidade (R$)</t>
  </si>
  <si>
    <t xml:space="preserve">Origem do dado</t>
  </si>
  <si>
    <t xml:space="preserve">Imposto (R$)</t>
  </si>
  <si>
    <t xml:space="preserve">Margem de contribuição ANTES do Ads (R$)</t>
  </si>
  <si>
    <t xml:space="preserve">Margem antes do Ads (%) = ACOS de equilíbrio</t>
  </si>
  <si>
    <t xml:space="preserve">Teto de ACOS p/ este SKU</t>
  </si>
  <si>
    <t xml:space="preserve">Margem de contribuição APÓS Ads (R$)</t>
  </si>
  <si>
    <t xml:space="preserve">Margem após Ads (%)</t>
  </si>
  <si>
    <t xml:space="preserve">Preço mínimo p/ margem mínima (R$)</t>
  </si>
  <si>
    <t xml:space="preserve">Status</t>
  </si>
  <si>
    <t xml:space="preserve">EXEMPLO-001</t>
  </si>
  <si>
    <t xml:space="preserve">MLB0000000000</t>
  </si>
  <si>
    <t xml:space="preserve">Exemplo ilustrativo (apagar)</t>
  </si>
  <si>
    <t xml:space="preserve">Full</t>
  </si>
  <si>
    <t xml:space="preserve">Hipótese</t>
  </si>
  <si>
    <t xml:space="preserve">Mercado Ads – desempenho</t>
  </si>
  <si>
    <t xml:space="preserve">Cole/preencha os dados exportados do Painel (azul). ACOS = gasto ÷ vendas atribuídas. Vendas atribuídas não são vendas incrementais. Linha 6 = EXEMPLO ILUSTRATIVO (apagar).</t>
  </si>
  <si>
    <t xml:space="preserve">Período</t>
  </si>
  <si>
    <t xml:space="preserve">Campanha</t>
  </si>
  <si>
    <t xml:space="preserve">SKU (igual à aba Custos_SKU)</t>
  </si>
  <si>
    <t xml:space="preserve">Impressões</t>
  </si>
  <si>
    <t xml:space="preserve">Cliques</t>
  </si>
  <si>
    <t xml:space="preserve">Gasto (R$)</t>
  </si>
  <si>
    <t xml:space="preserve">Vendas atribuídas (R$)</t>
  </si>
  <si>
    <t xml:space="preserve">Pedidos atribuídos</t>
  </si>
  <si>
    <t xml:space="preserve">CTR</t>
  </si>
  <si>
    <t xml:space="preserve">CPC (R$)</t>
  </si>
  <si>
    <t xml:space="preserve">Conversão</t>
  </si>
  <si>
    <t xml:space="preserve">ACOS</t>
  </si>
  <si>
    <t xml:space="preserve">ROAS</t>
  </si>
  <si>
    <t xml:space="preserve">Teto de ACOS do SKU</t>
  </si>
  <si>
    <t xml:space="preserve">Avaliação</t>
  </si>
  <si>
    <t xml:space="preserve">Exemplo</t>
  </si>
  <si>
    <t xml:space="preserve">Campanha exemplo</t>
  </si>
  <si>
    <t xml:space="preserve">ML</t>
  </si>
  <si>
    <t xml:space="preserve">TOTAL</t>
  </si>
  <si>
    <t xml:space="preserve">Estoque e reposição (estoque próprio compartilhado: ML Coleta + Shopee)</t>
  </si>
  <si>
    <t xml:space="preserve">Fonte única de estoque (sem ERP). Atualize a cada venda nos dois canais para evitar venda sem estoque. O estoque no Full é do ML e não atende a Shopee. Linha 6 = EXEMPLO ILUSTRATIVO (apagar).</t>
  </si>
  <si>
    <t xml:space="preserve">Estoque próprio (un) – ML Coleta + Shopee</t>
  </si>
  <si>
    <t xml:space="preserve">Estoque no Full (un) – só ML</t>
  </si>
  <si>
    <t xml:space="preserve">Vendas 30 dias – ML Full (un)</t>
  </si>
  <si>
    <t xml:space="preserve">Vendas 30 dias – ML Coleta (un)</t>
  </si>
  <si>
    <t xml:space="preserve">Vendas 30 dias – Shopee (un)</t>
  </si>
  <si>
    <t xml:space="preserve">Giro diário próprio (un/dia)</t>
  </si>
  <si>
    <t xml:space="preserve">Giro diário Full (un/dia)</t>
  </si>
  <si>
    <t xml:space="preserve">Cobertura estoque próprio (dias)</t>
  </si>
  <si>
    <t xml:space="preserve">Cobertura Full (dias)</t>
  </si>
  <si>
    <t xml:space="preserve">Ponto de reposição próprio (un)</t>
  </si>
  <si>
    <t xml:space="preserve">Custo unitário (R$)</t>
  </si>
  <si>
    <t xml:space="preserve">Capital p/ repor 30 dias (R$)</t>
  </si>
  <si>
    <t xml:space="preserve">Data da contagem</t>
  </si>
  <si>
    <t xml:space="preserve">Capital total necessário para repor 30 dias:</t>
  </si>
  <si>
    <t xml:space="preserve">Capital próprio + crédito do fornecedor (Parametros):</t>
  </si>
  <si>
    <t xml:space="preserve">Saldo (negativo = capital insuficiente):</t>
  </si>
  <si>
    <t xml:space="preserve">Fluxo de caixa: boletos de compra x entradas</t>
  </si>
  <si>
    <t xml:space="preserve">Compras a prazo (boleto em 30 dias): a compra do mês M vence no mês M+1. O lucro só vira caixa se as entradas do ML cobrirem os boletos.</t>
  </si>
  <si>
    <t xml:space="preserve">Saldo inicial de caixa (R$):</t>
  </si>
  <si>
    <t xml:space="preserve">Item</t>
  </si>
  <si>
    <t xml:space="preserve">Mês 1</t>
  </si>
  <si>
    <t xml:space="preserve">Mês 2</t>
  </si>
  <si>
    <t xml:space="preserve">Mês 3</t>
  </si>
  <si>
    <t xml:space="preserve">Mês 4</t>
  </si>
  <si>
    <t xml:space="preserve">(+) Entradas líquidas liberadas pelo ML (já sem tarifas, frete e Ads)</t>
  </si>
  <si>
    <t xml:space="preserve">(-) Boletos vencendo no mês</t>
  </si>
  <si>
    <t xml:space="preserve">(-) Impostos pagos</t>
  </si>
  <si>
    <t xml:space="preserve">(-) Custos fixos</t>
  </si>
  <si>
    <t xml:space="preserve">(-) Embalagem paga</t>
  </si>
  <si>
    <t xml:space="preserve">(=) Caixa do mês</t>
  </si>
  <si>
    <t xml:space="preserve">Caixa acumulado (inclui saldo inicial)</t>
  </si>
  <si>
    <t xml:space="preserve">Compras do mês (boletos gerados, vencem no mês seguinte)</t>
  </si>
  <si>
    <t xml:space="preserve">Dívida de fornecedor em aberto no fim do mês</t>
  </si>
  <si>
    <t xml:space="preserve">Crédito de fornecedor ainda disponível</t>
  </si>
  <si>
    <t xml:space="preserve">Mês 1: preencha em 'Boletos vencendo' os boletos de compras de antes do início do controle. Impostos e embalagem: valores efetivamente pagos no mês.</t>
  </si>
  <si>
    <t xml:space="preserve">Se 'Limite de crédito' em Parametros estiver zerado, a linha de crédito disponível não tem significado.</t>
  </si>
  <si>
    <t xml:space="preserve">Lucro líquido mensal x meta</t>
  </si>
  <si>
    <t xml:space="preserve">Preencha as linhas azuis a cada mês com os valores reais do Painel e da contabilidade. Imposto e custos fixos vêm dos Parametros.</t>
  </si>
  <si>
    <t xml:space="preserve">Total</t>
  </si>
  <si>
    <t xml:space="preserve">Pedidos (un)</t>
  </si>
  <si>
    <t xml:space="preserve">Faturamento bruto (R$)</t>
  </si>
  <si>
    <t xml:space="preserve">(-) Custo dos produtos vendidos</t>
  </si>
  <si>
    <t xml:space="preserve">(-) Comissões e tarifas do Mercado Livre</t>
  </si>
  <si>
    <t xml:space="preserve">(-) Frete pago pelo vendedor</t>
  </si>
  <si>
    <t xml:space="preserve">(-) Embalagem</t>
  </si>
  <si>
    <t xml:space="preserve">(-) Devoluções e reembolsos</t>
  </si>
  <si>
    <t xml:space="preserve">(-) Imposto (Simples)</t>
  </si>
  <si>
    <t xml:space="preserve">(-) Publicidade (gasto total com Ads)</t>
  </si>
  <si>
    <t xml:space="preserve">(=) Margem de contribuição</t>
  </si>
  <si>
    <t xml:space="preserve">Margem de contribuição (% do faturamento)</t>
  </si>
  <si>
    <t xml:space="preserve">(=) LUCRO LÍQUIDO DO MÊS</t>
  </si>
  <si>
    <t xml:space="preserve">Lucro líquido acumulado</t>
  </si>
  <si>
    <t xml:space="preserve">Falta para a meta</t>
  </si>
  <si>
    <t xml:space="preserve">% da meta atingido</t>
  </si>
  <si>
    <t xml:space="preserve">Ticket médio (R$)</t>
  </si>
  <si>
    <t xml:space="preserve">Gasto com Ads ÷ faturamento total</t>
  </si>
  <si>
    <t xml:space="preserve">Atenção: meta = lucro contábil (receita menos todos os custos). Reposição de estoque não é descontada aqui; acompanhe o caixa separadamente.</t>
  </si>
  <si>
    <t xml:space="preserve">Faturamento por canal (informativo)</t>
  </si>
  <si>
    <t xml:space="preserve">Faturamento Mercado Livre (R$)</t>
  </si>
  <si>
    <t xml:space="preserve">Faturamento Shopee (R$)</t>
  </si>
  <si>
    <t xml:space="preserve">Diferença vs. faturamento bruto acima (deve ser zero)</t>
  </si>
  <si>
    <t xml:space="preserve">Simulador: pedidos necessários para a meta</t>
  </si>
  <si>
    <t xml:space="preserve">Aritmética sobre os Parametros. Não é previsão. m = margem de contribuição depois de todos os custos variáveis (incluindo Ads e embalagem).</t>
  </si>
  <si>
    <t xml:space="preserve">Lucro líquido mensal necessário (constante)</t>
  </si>
  <si>
    <t xml:space="preserve">Custos fixos/mês</t>
  </si>
  <si>
    <t xml:space="preserve">Contribuição necessária/mês</t>
  </si>
  <si>
    <t xml:space="preserve">Lucro mensal necessário no último mês (rampa linear a partir de zero)</t>
  </si>
  <si>
    <t xml:space="preserve">Contribuição necessária no último mês (rampa)</t>
  </si>
  <si>
    <t xml:space="preserve">Cenário de margem m (editável)</t>
  </si>
  <si>
    <t xml:space="preserve">Faturamento/mês (ritmo constante)</t>
  </si>
  <si>
    <t xml:space="preserve">Pedidos/mês (ticket atual)</t>
  </si>
  <si>
    <t xml:space="preserve">x o ritmo atual</t>
  </si>
  <si>
    <t xml:space="preserve">Faturamento no último mês (rampa)</t>
  </si>
  <si>
    <t xml:space="preserve">Pedidos no último mês (rampa)</t>
  </si>
  <si>
    <t xml:space="preserve">x o ritmo atual (rampa)</t>
  </si>
  <si>
    <t xml:space="preserve">Referência: 7% ≈ margem mínima 15% menos ACOS máx. 8% (pior caso, se o Ads atribuir todas as vendas).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</si>
</sst>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&quot;R$ &quot;#,##0.00;&quot;(R$ &quot;#,##0.00\);\-"/>
    <numFmt numFmtId="167" formatCode="#,##0;\(#,##0\);\-"/>
    <numFmt numFmtId="168" formatCode="0.00"/>
    <numFmt numFmtId="169" formatCode="0.0"/>
    <numFmt numFmtId="170" formatCode="dd/mm/yyyy"/>
    <numFmt numFmtId="171" formatCode="#,##0"/>
    <numFmt numFmtId="172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FE69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13</v>
      </c>
    </row>
    <row r="18" customFormat="false" ht="35.0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21</v>
      </c>
    </row>
    <row r="3" customFormat="false" ht="21.75" hidden="false" customHeight="true" outlineLevel="0" collapsed="false">
      <c r="A3" s="5" t="s">
        <v>22</v>
      </c>
      <c r="B3" s="5" t="s">
        <v>23</v>
      </c>
      <c r="C3" s="5" t="s">
        <v>24</v>
      </c>
    </row>
    <row r="4" customFormat="false" ht="15" hidden="false" customHeight="false" outlineLevel="0" collapsed="false">
      <c r="A4" s="6" t="s">
        <v>25</v>
      </c>
      <c r="B4" s="7" t="n">
        <v>0.04</v>
      </c>
      <c r="C4" s="8" t="s">
        <v>26</v>
      </c>
    </row>
    <row r="5" customFormat="false" ht="15" hidden="false" customHeight="false" outlineLevel="0" collapsed="false">
      <c r="A5" s="6" t="s">
        <v>27</v>
      </c>
      <c r="B5" s="7" t="n">
        <v>0.15</v>
      </c>
      <c r="C5" s="8" t="s">
        <v>28</v>
      </c>
    </row>
    <row r="6" customFormat="false" ht="15" hidden="false" customHeight="false" outlineLevel="0" collapsed="false">
      <c r="A6" s="6" t="s">
        <v>29</v>
      </c>
      <c r="B6" s="7" t="n">
        <v>0.08</v>
      </c>
      <c r="C6" s="8" t="s">
        <v>28</v>
      </c>
    </row>
    <row r="7" customFormat="false" ht="15" hidden="false" customHeight="false" outlineLevel="0" collapsed="false">
      <c r="A7" s="6" t="s">
        <v>30</v>
      </c>
      <c r="B7" s="9" t="n">
        <v>5000</v>
      </c>
      <c r="C7" s="8" t="s">
        <v>31</v>
      </c>
    </row>
    <row r="8" customFormat="false" ht="15" hidden="false" customHeight="false" outlineLevel="0" collapsed="false">
      <c r="A8" s="6" t="s">
        <v>32</v>
      </c>
      <c r="B8" s="10" t="n">
        <v>3</v>
      </c>
      <c r="C8" s="8" t="s">
        <v>33</v>
      </c>
    </row>
    <row r="9" customFormat="false" ht="15" hidden="false" customHeight="false" outlineLevel="0" collapsed="false">
      <c r="A9" s="6" t="s">
        <v>34</v>
      </c>
      <c r="B9" s="9" t="n">
        <v>300</v>
      </c>
      <c r="C9" s="8" t="s">
        <v>28</v>
      </c>
    </row>
    <row r="10" customFormat="false" ht="15" hidden="false" customHeight="false" outlineLevel="0" collapsed="false">
      <c r="A10" s="6" t="s">
        <v>35</v>
      </c>
      <c r="B10" s="11" t="n">
        <v>0</v>
      </c>
      <c r="C10" s="8" t="s">
        <v>36</v>
      </c>
    </row>
    <row r="11" customFormat="false" ht="15" hidden="false" customHeight="false" outlineLevel="0" collapsed="false">
      <c r="A11" s="6" t="s">
        <v>37</v>
      </c>
      <c r="B11" s="12" t="n">
        <f aca="false">B9+B10</f>
        <v>300</v>
      </c>
      <c r="C11" s="8" t="s">
        <v>38</v>
      </c>
    </row>
    <row r="12" customFormat="false" ht="15" hidden="false" customHeight="false" outlineLevel="0" collapsed="false">
      <c r="A12" s="6" t="s">
        <v>39</v>
      </c>
      <c r="B12" s="12" t="n">
        <f aca="false">100/35</f>
        <v>2.85714285714286</v>
      </c>
      <c r="C12" s="8" t="s">
        <v>40</v>
      </c>
    </row>
    <row r="13" customFormat="false" ht="15" hidden="false" customHeight="false" outlineLevel="0" collapsed="false">
      <c r="A13" s="6" t="s">
        <v>41</v>
      </c>
      <c r="B13" s="13" t="n">
        <v>0</v>
      </c>
      <c r="C13" s="8" t="s">
        <v>42</v>
      </c>
    </row>
    <row r="14" customFormat="false" ht="15" hidden="false" customHeight="false" outlineLevel="0" collapsed="false">
      <c r="A14" s="6" t="s">
        <v>43</v>
      </c>
      <c r="B14" s="9" t="n">
        <v>105</v>
      </c>
      <c r="C14" s="8" t="s">
        <v>44</v>
      </c>
    </row>
    <row r="15" customFormat="false" ht="15" hidden="false" customHeight="false" outlineLevel="0" collapsed="false">
      <c r="A15" s="6" t="s">
        <v>45</v>
      </c>
      <c r="B15" s="10" t="n">
        <v>35</v>
      </c>
      <c r="C15" s="8" t="s">
        <v>44</v>
      </c>
    </row>
    <row r="16" customFormat="false" ht="15" hidden="false" customHeight="false" outlineLevel="0" collapsed="false">
      <c r="A16" s="6" t="s">
        <v>46</v>
      </c>
      <c r="B16" s="9" t="n">
        <v>500</v>
      </c>
      <c r="C16" s="8" t="s">
        <v>47</v>
      </c>
    </row>
    <row r="17" customFormat="false" ht="15" hidden="false" customHeight="false" outlineLevel="0" collapsed="false">
      <c r="A17" s="6" t="s">
        <v>48</v>
      </c>
      <c r="B17" s="10" t="n">
        <v>25</v>
      </c>
      <c r="C17" s="8" t="s">
        <v>44</v>
      </c>
    </row>
    <row r="18" customFormat="false" ht="15" hidden="false" customHeight="false" outlineLevel="0" collapsed="false">
      <c r="A18" s="6" t="s">
        <v>49</v>
      </c>
      <c r="B18" s="9" t="n">
        <v>50</v>
      </c>
      <c r="C18" s="8" t="s">
        <v>50</v>
      </c>
    </row>
    <row r="19" customFormat="false" ht="15" hidden="false" customHeight="false" outlineLevel="0" collapsed="false">
      <c r="A19" s="6" t="s">
        <v>51</v>
      </c>
      <c r="B19" s="14" t="n">
        <v>10</v>
      </c>
      <c r="C19" s="8" t="s">
        <v>52</v>
      </c>
    </row>
    <row r="20" customFormat="false" ht="15" hidden="false" customHeight="false" outlineLevel="0" collapsed="false">
      <c r="A20" s="6" t="s">
        <v>53</v>
      </c>
      <c r="B20" s="10" t="n">
        <v>30</v>
      </c>
      <c r="C20" s="8" t="s">
        <v>54</v>
      </c>
    </row>
    <row r="21" customFormat="false" ht="15" hidden="false" customHeight="false" outlineLevel="0" collapsed="false">
      <c r="A21" s="6" t="s">
        <v>55</v>
      </c>
      <c r="B21" s="11" t="n">
        <v>0</v>
      </c>
      <c r="C21" s="8" t="s">
        <v>56</v>
      </c>
    </row>
    <row r="22" customFormat="false" ht="15" hidden="false" customHeight="false" outlineLevel="0" collapsed="false">
      <c r="A22" s="6" t="s">
        <v>57</v>
      </c>
      <c r="B22" s="14" t="n">
        <v>0</v>
      </c>
      <c r="C22" s="8" t="s">
        <v>58</v>
      </c>
    </row>
    <row r="23" customFormat="false" ht="32.8" hidden="false" customHeight="false" outlineLevel="0" collapsed="false">
      <c r="A23" s="6" t="s">
        <v>59</v>
      </c>
      <c r="B23" s="11" t="n">
        <v>6.5</v>
      </c>
      <c r="C23" s="8" t="s">
        <v>60</v>
      </c>
    </row>
    <row r="24" customFormat="false" ht="15" hidden="false" customHeight="false" outlineLevel="0" collapsed="false">
      <c r="A24" s="6" t="s">
        <v>61</v>
      </c>
      <c r="B24" s="11" t="n">
        <v>79</v>
      </c>
      <c r="C24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5"/>
    <col collapsed="false" customWidth="true" hidden="false" outlineLevel="0" max="21" min="21" style="0" width="24"/>
  </cols>
  <sheetData>
    <row r="1" customFormat="false" ht="17.35" hidden="false" customHeight="false" outlineLevel="0" collapsed="false">
      <c r="A1" s="4" t="s">
        <v>63</v>
      </c>
    </row>
    <row r="2" customFormat="false" ht="15" hidden="false" customHeight="false" outlineLevel="0" collapsed="false">
      <c r="A2" s="15" t="s">
        <v>64</v>
      </c>
    </row>
    <row r="5" customFormat="false" ht="48" hidden="false" customHeight="true" outlineLevel="0" collapsed="false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  <c r="T5" s="5" t="s">
        <v>84</v>
      </c>
      <c r="U5" s="5" t="s">
        <v>85</v>
      </c>
    </row>
    <row r="6" customFormat="false" ht="15" hidden="false" customHeight="false" outlineLevel="0" collapsed="false">
      <c r="A6" s="16" t="s">
        <v>86</v>
      </c>
      <c r="B6" s="16" t="s">
        <v>87</v>
      </c>
      <c r="C6" s="16" t="s">
        <v>88</v>
      </c>
      <c r="D6" s="16" t="s">
        <v>89</v>
      </c>
      <c r="E6" s="11" t="n">
        <v>100</v>
      </c>
      <c r="F6" s="11" t="n">
        <v>40</v>
      </c>
      <c r="G6" s="13" t="n">
        <v>0.14</v>
      </c>
      <c r="H6" s="11" t="n">
        <f aca="false">IF(E6="","",IF(E6&lt;Parametros!$B$24,Parametros!$B$23,0))</f>
        <v>0</v>
      </c>
      <c r="I6" s="11" t="n">
        <v>0</v>
      </c>
      <c r="J6" s="11" t="n">
        <f aca="false">Parametros!$B$12</f>
        <v>2.85714285714286</v>
      </c>
      <c r="K6" s="13" t="n">
        <f aca="false">Parametros!$B$13</f>
        <v>0</v>
      </c>
      <c r="L6" s="11" t="n">
        <v>3</v>
      </c>
      <c r="M6" s="16" t="s">
        <v>90</v>
      </c>
      <c r="N6" s="12" t="n">
        <f aca="false">IF($E6="","",E6*Parametros!$B$4)</f>
        <v>4</v>
      </c>
      <c r="O6" s="12" t="n">
        <f aca="false">IF($E6="","",E6-F6-E6*G6-H6-I6-J6-E6*K6-N6)</f>
        <v>39.1428571428571</v>
      </c>
      <c r="P6" s="17" t="n">
        <f aca="false">IF($E6="","",O6/E6)</f>
        <v>0.391428571428571</v>
      </c>
      <c r="Q6" s="17" t="n">
        <f aca="false">IF($E6="","",MAX(0,MIN(P6,Parametros!$B$6)))</f>
        <v>0.08</v>
      </c>
      <c r="R6" s="12" t="n">
        <f aca="false">IF($E6="","",O6-L6)</f>
        <v>36.1428571428571</v>
      </c>
      <c r="S6" s="17" t="n">
        <f aca="false">IF($E6="","",R6/E6)</f>
        <v>0.361428571428571</v>
      </c>
      <c r="T6" s="12" t="n">
        <f aca="false">IF($E6="","",IF(1-G6-Parametros!$B$4-K6-Parametros!$B$5&gt;0,(F6+H6+I6+J6+L6)/(1-G6-Parametros!$B$4-K6-Parametros!$B$5),"inviável"))</f>
        <v>68.4434968017058</v>
      </c>
      <c r="U6" s="6" t="str">
        <f aca="false">IF($E6="","",IF(S6&gt;=Parametros!$B$5,"OK",IF(R6&gt;0,"Abaixo da margem mínima","PREJUÍZO")))</f>
        <v>OK</v>
      </c>
    </row>
    <row r="7" customFormat="false" ht="15" hidden="false" customHeight="false" outlineLevel="0" collapsed="false">
      <c r="A7" s="16"/>
      <c r="B7" s="16"/>
      <c r="C7" s="16"/>
      <c r="D7" s="16"/>
      <c r="E7" s="11"/>
      <c r="F7" s="11"/>
      <c r="G7" s="13"/>
      <c r="H7" s="11" t="str">
        <f aca="false">IF(E7="","",IF(E7&lt;Parametros!$B$24,Parametros!$B$23,0))</f>
        <v/>
      </c>
      <c r="I7" s="11"/>
      <c r="J7" s="11" t="n">
        <f aca="false">Parametros!$B$12</f>
        <v>2.85714285714286</v>
      </c>
      <c r="K7" s="13" t="n">
        <f aca="false">Parametros!$B$13</f>
        <v>0</v>
      </c>
      <c r="L7" s="11"/>
      <c r="M7" s="16"/>
      <c r="N7" s="12" t="str">
        <f aca="false">IF($E7="","",E7*Parametros!$B$4)</f>
        <v/>
      </c>
      <c r="O7" s="12" t="str">
        <f aca="false">IF($E7="","",E7-F7-E7*G7-H7-I7-J7-E7*K7-N7)</f>
        <v/>
      </c>
      <c r="P7" s="17" t="str">
        <f aca="false">IF($E7="","",O7/E7)</f>
        <v/>
      </c>
      <c r="Q7" s="17" t="str">
        <f aca="false">IF($E7="","",MAX(0,MIN(P7,Parametros!$B$6)))</f>
        <v/>
      </c>
      <c r="R7" s="12" t="str">
        <f aca="false">IF($E7="","",O7-L7)</f>
        <v/>
      </c>
      <c r="S7" s="17" t="str">
        <f aca="false">IF($E7="","",R7/E7)</f>
        <v/>
      </c>
      <c r="T7" s="12" t="str">
        <f aca="false">IF($E7="","",IF(1-G7-Parametros!$B$4-K7-Parametros!$B$5&gt;0,(F7+H7+I7+J7+L7)/(1-G7-Parametros!$B$4-K7-Parametros!$B$5),"inviável"))</f>
        <v/>
      </c>
      <c r="U7" s="6" t="str">
        <f aca="false">IF($E7="","",IF(S7&gt;=Parametros!$B$5,"OK",IF(R7&gt;0,"Abaixo da margem mínima","PREJUÍZO")))</f>
        <v/>
      </c>
    </row>
    <row r="8" customFormat="false" ht="15" hidden="false" customHeight="false" outlineLevel="0" collapsed="false">
      <c r="A8" s="16"/>
      <c r="B8" s="16"/>
      <c r="C8" s="16"/>
      <c r="D8" s="16"/>
      <c r="E8" s="11"/>
      <c r="F8" s="11"/>
      <c r="G8" s="13"/>
      <c r="H8" s="11" t="str">
        <f aca="false">IF(E8="","",IF(E8&lt;Parametros!$B$24,Parametros!$B$23,0))</f>
        <v/>
      </c>
      <c r="I8" s="11"/>
      <c r="J8" s="11" t="n">
        <f aca="false">Parametros!$B$12</f>
        <v>2.85714285714286</v>
      </c>
      <c r="K8" s="13" t="n">
        <f aca="false">Parametros!$B$13</f>
        <v>0</v>
      </c>
      <c r="L8" s="11"/>
      <c r="M8" s="16"/>
      <c r="N8" s="12" t="str">
        <f aca="false">IF($E8="","",E8*Parametros!$B$4)</f>
        <v/>
      </c>
      <c r="O8" s="12" t="str">
        <f aca="false">IF($E8="","",E8-F8-E8*G8-H8-I8-J8-E8*K8-N8)</f>
        <v/>
      </c>
      <c r="P8" s="17" t="str">
        <f aca="false">IF($E8="","",O8/E8)</f>
        <v/>
      </c>
      <c r="Q8" s="17" t="str">
        <f aca="false">IF($E8="","",MAX(0,MIN(P8,Parametros!$B$6)))</f>
        <v/>
      </c>
      <c r="R8" s="12" t="str">
        <f aca="false">IF($E8="","",O8-L8)</f>
        <v/>
      </c>
      <c r="S8" s="17" t="str">
        <f aca="false">IF($E8="","",R8/E8)</f>
        <v/>
      </c>
      <c r="T8" s="12" t="str">
        <f aca="false">IF($E8="","",IF(1-G8-Parametros!$B$4-K8-Parametros!$B$5&gt;0,(F8+H8+I8+J8+L8)/(1-G8-Parametros!$B$4-K8-Parametros!$B$5),"inviável"))</f>
        <v/>
      </c>
      <c r="U8" s="6" t="str">
        <f aca="false">IF($E8="","",IF(S8&gt;=Parametros!$B$5,"OK",IF(R8&gt;0,"Abaixo da margem mínima","PREJUÍZO")))</f>
        <v/>
      </c>
    </row>
    <row r="9" customFormat="false" ht="15" hidden="false" customHeight="false" outlineLevel="0" collapsed="false">
      <c r="A9" s="16"/>
      <c r="B9" s="16"/>
      <c r="C9" s="16"/>
      <c r="D9" s="16"/>
      <c r="E9" s="11"/>
      <c r="F9" s="11"/>
      <c r="G9" s="13"/>
      <c r="H9" s="11" t="str">
        <f aca="false">IF(E9="","",IF(E9&lt;Parametros!$B$24,Parametros!$B$23,0))</f>
        <v/>
      </c>
      <c r="I9" s="11"/>
      <c r="J9" s="11" t="n">
        <f aca="false">Parametros!$B$12</f>
        <v>2.85714285714286</v>
      </c>
      <c r="K9" s="13" t="n">
        <f aca="false">Parametros!$B$13</f>
        <v>0</v>
      </c>
      <c r="L9" s="11"/>
      <c r="M9" s="16"/>
      <c r="N9" s="12" t="str">
        <f aca="false">IF($E9="","",E9*Parametros!$B$4)</f>
        <v/>
      </c>
      <c r="O9" s="12" t="str">
        <f aca="false">IF($E9="","",E9-F9-E9*G9-H9-I9-J9-E9*K9-N9)</f>
        <v/>
      </c>
      <c r="P9" s="17" t="str">
        <f aca="false">IF($E9="","",O9/E9)</f>
        <v/>
      </c>
      <c r="Q9" s="17" t="str">
        <f aca="false">IF($E9="","",MAX(0,MIN(P9,Parametros!$B$6)))</f>
        <v/>
      </c>
      <c r="R9" s="12" t="str">
        <f aca="false">IF($E9="","",O9-L9)</f>
        <v/>
      </c>
      <c r="S9" s="17" t="str">
        <f aca="false">IF($E9="","",R9/E9)</f>
        <v/>
      </c>
      <c r="T9" s="12" t="str">
        <f aca="false">IF($E9="","",IF(1-G9-Parametros!$B$4-K9-Parametros!$B$5&gt;0,(F9+H9+I9+J9+L9)/(1-G9-Parametros!$B$4-K9-Parametros!$B$5),"inviável"))</f>
        <v/>
      </c>
      <c r="U9" s="6" t="str">
        <f aca="false">IF($E9="","",IF(S9&gt;=Parametros!$B$5,"OK",IF(R9&gt;0,"Abaixo da margem mínima","PREJUÍZO")))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1"/>
      <c r="F10" s="11"/>
      <c r="G10" s="13"/>
      <c r="H10" s="11" t="str">
        <f aca="false">IF(E10="","",IF(E10&lt;Parametros!$B$24,Parametros!$B$23,0))</f>
        <v/>
      </c>
      <c r="I10" s="11"/>
      <c r="J10" s="11" t="n">
        <f aca="false">Parametros!$B$12</f>
        <v>2.85714285714286</v>
      </c>
      <c r="K10" s="13" t="n">
        <f aca="false">Parametros!$B$13</f>
        <v>0</v>
      </c>
      <c r="L10" s="11"/>
      <c r="M10" s="16"/>
      <c r="N10" s="12" t="str">
        <f aca="false">IF($E10="","",E10*Parametros!$B$4)</f>
        <v/>
      </c>
      <c r="O10" s="12" t="str">
        <f aca="false">IF($E10="","",E10-F10-E10*G10-H10-I10-J10-E10*K10-N10)</f>
        <v/>
      </c>
      <c r="P10" s="17" t="str">
        <f aca="false">IF($E10="","",O10/E10)</f>
        <v/>
      </c>
      <c r="Q10" s="17" t="str">
        <f aca="false">IF($E10="","",MAX(0,MIN(P10,Parametros!$B$6)))</f>
        <v/>
      </c>
      <c r="R10" s="12" t="str">
        <f aca="false">IF($E10="","",O10-L10)</f>
        <v/>
      </c>
      <c r="S10" s="17" t="str">
        <f aca="false">IF($E10="","",R10/E10)</f>
        <v/>
      </c>
      <c r="T10" s="12" t="str">
        <f aca="false">IF($E10="","",IF(1-G10-Parametros!$B$4-K10-Parametros!$B$5&gt;0,(F10+H10+I10+J10+L10)/(1-G10-Parametros!$B$4-K10-Parametros!$B$5),"inviável"))</f>
        <v/>
      </c>
      <c r="U10" s="6" t="str">
        <f aca="false">IF($E10="","",IF(S10&gt;=Parametros!$B$5,"OK",IF(R10&gt;0,"Abaixo da margem mínima","PREJUÍZO")))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1"/>
      <c r="F11" s="11"/>
      <c r="G11" s="13"/>
      <c r="H11" s="11" t="str">
        <f aca="false">IF(E11="","",IF(E11&lt;Parametros!$B$24,Parametros!$B$23,0))</f>
        <v/>
      </c>
      <c r="I11" s="11"/>
      <c r="J11" s="11" t="n">
        <f aca="false">Parametros!$B$12</f>
        <v>2.85714285714286</v>
      </c>
      <c r="K11" s="13" t="n">
        <f aca="false">Parametros!$B$13</f>
        <v>0</v>
      </c>
      <c r="L11" s="11"/>
      <c r="M11" s="16"/>
      <c r="N11" s="12" t="str">
        <f aca="false">IF($E11="","",E11*Parametros!$B$4)</f>
        <v/>
      </c>
      <c r="O11" s="12" t="str">
        <f aca="false">IF($E11="","",E11-F11-E11*G11-H11-I11-J11-E11*K11-N11)</f>
        <v/>
      </c>
      <c r="P11" s="17" t="str">
        <f aca="false">IF($E11="","",O11/E11)</f>
        <v/>
      </c>
      <c r="Q11" s="17" t="str">
        <f aca="false">IF($E11="","",MAX(0,MIN(P11,Parametros!$B$6)))</f>
        <v/>
      </c>
      <c r="R11" s="12" t="str">
        <f aca="false">IF($E11="","",O11-L11)</f>
        <v/>
      </c>
      <c r="S11" s="17" t="str">
        <f aca="false">IF($E11="","",R11/E11)</f>
        <v/>
      </c>
      <c r="T11" s="12" t="str">
        <f aca="false">IF($E11="","",IF(1-G11-Parametros!$B$4-K11-Parametros!$B$5&gt;0,(F11+H11+I11+J11+L11)/(1-G11-Parametros!$B$4-K11-Parametros!$B$5),"inviável"))</f>
        <v/>
      </c>
      <c r="U11" s="6" t="str">
        <f aca="false">IF($E11="","",IF(S11&gt;=Parametros!$B$5,"OK",IF(R11&gt;0,"Abaixo da margem mínima","PREJUÍZO")))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1"/>
      <c r="F12" s="11"/>
      <c r="G12" s="13"/>
      <c r="H12" s="11" t="str">
        <f aca="false">IF(E12="","",IF(E12&lt;Parametros!$B$24,Parametros!$B$23,0))</f>
        <v/>
      </c>
      <c r="I12" s="11"/>
      <c r="J12" s="11" t="n">
        <f aca="false">Parametros!$B$12</f>
        <v>2.85714285714286</v>
      </c>
      <c r="K12" s="13" t="n">
        <f aca="false">Parametros!$B$13</f>
        <v>0</v>
      </c>
      <c r="L12" s="11"/>
      <c r="M12" s="16"/>
      <c r="N12" s="12" t="str">
        <f aca="false">IF($E12="","",E12*Parametros!$B$4)</f>
        <v/>
      </c>
      <c r="O12" s="12" t="str">
        <f aca="false">IF($E12="","",E12-F12-E12*G12-H12-I12-J12-E12*K12-N12)</f>
        <v/>
      </c>
      <c r="P12" s="17" t="str">
        <f aca="false">IF($E12="","",O12/E12)</f>
        <v/>
      </c>
      <c r="Q12" s="17" t="str">
        <f aca="false">IF($E12="","",MAX(0,MIN(P12,Parametros!$B$6)))</f>
        <v/>
      </c>
      <c r="R12" s="12" t="str">
        <f aca="false">IF($E12="","",O12-L12)</f>
        <v/>
      </c>
      <c r="S12" s="17" t="str">
        <f aca="false">IF($E12="","",R12/E12)</f>
        <v/>
      </c>
      <c r="T12" s="12" t="str">
        <f aca="false">IF($E12="","",IF(1-G12-Parametros!$B$4-K12-Parametros!$B$5&gt;0,(F12+H12+I12+J12+L12)/(1-G12-Parametros!$B$4-K12-Parametros!$B$5),"inviável"))</f>
        <v/>
      </c>
      <c r="U12" s="6" t="str">
        <f aca="false">IF($E12="","",IF(S12&gt;=Parametros!$B$5,"OK",IF(R12&gt;0,"Abaixo da margem mínima","PREJUÍZO")))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1"/>
      <c r="F13" s="11"/>
      <c r="G13" s="13"/>
      <c r="H13" s="11" t="str">
        <f aca="false">IF(E13="","",IF(E13&lt;Parametros!$B$24,Parametros!$B$23,0))</f>
        <v/>
      </c>
      <c r="I13" s="11"/>
      <c r="J13" s="11" t="n">
        <f aca="false">Parametros!$B$12</f>
        <v>2.85714285714286</v>
      </c>
      <c r="K13" s="13" t="n">
        <f aca="false">Parametros!$B$13</f>
        <v>0</v>
      </c>
      <c r="L13" s="11"/>
      <c r="M13" s="16"/>
      <c r="N13" s="12" t="str">
        <f aca="false">IF($E13="","",E13*Parametros!$B$4)</f>
        <v/>
      </c>
      <c r="O13" s="12" t="str">
        <f aca="false">IF($E13="","",E13-F13-E13*G13-H13-I13-J13-E13*K13-N13)</f>
        <v/>
      </c>
      <c r="P13" s="17" t="str">
        <f aca="false">IF($E13="","",O13/E13)</f>
        <v/>
      </c>
      <c r="Q13" s="17" t="str">
        <f aca="false">IF($E13="","",MAX(0,MIN(P13,Parametros!$B$6)))</f>
        <v/>
      </c>
      <c r="R13" s="12" t="str">
        <f aca="false">IF($E13="","",O13-L13)</f>
        <v/>
      </c>
      <c r="S13" s="17" t="str">
        <f aca="false">IF($E13="","",R13/E13)</f>
        <v/>
      </c>
      <c r="T13" s="12" t="str">
        <f aca="false">IF($E13="","",IF(1-G13-Parametros!$B$4-K13-Parametros!$B$5&gt;0,(F13+H13+I13+J13+L13)/(1-G13-Parametros!$B$4-K13-Parametros!$B$5),"inviável"))</f>
        <v/>
      </c>
      <c r="U13" s="6" t="str">
        <f aca="false">IF($E13="","",IF(S13&gt;=Parametros!$B$5,"OK",IF(R13&gt;0,"Abaixo da margem mínima","PREJUÍZO")))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1"/>
      <c r="F14" s="11"/>
      <c r="G14" s="13"/>
      <c r="H14" s="11" t="str">
        <f aca="false">IF(E14="","",IF(E14&lt;Parametros!$B$24,Parametros!$B$23,0))</f>
        <v/>
      </c>
      <c r="I14" s="11"/>
      <c r="J14" s="11" t="n">
        <f aca="false">Parametros!$B$12</f>
        <v>2.85714285714286</v>
      </c>
      <c r="K14" s="13" t="n">
        <f aca="false">Parametros!$B$13</f>
        <v>0</v>
      </c>
      <c r="L14" s="11"/>
      <c r="M14" s="16"/>
      <c r="N14" s="12" t="str">
        <f aca="false">IF($E14="","",E14*Parametros!$B$4)</f>
        <v/>
      </c>
      <c r="O14" s="12" t="str">
        <f aca="false">IF($E14="","",E14-F14-E14*G14-H14-I14-J14-E14*K14-N14)</f>
        <v/>
      </c>
      <c r="P14" s="17" t="str">
        <f aca="false">IF($E14="","",O14/E14)</f>
        <v/>
      </c>
      <c r="Q14" s="17" t="str">
        <f aca="false">IF($E14="","",MAX(0,MIN(P14,Parametros!$B$6)))</f>
        <v/>
      </c>
      <c r="R14" s="12" t="str">
        <f aca="false">IF($E14="","",O14-L14)</f>
        <v/>
      </c>
      <c r="S14" s="17" t="str">
        <f aca="false">IF($E14="","",R14/E14)</f>
        <v/>
      </c>
      <c r="T14" s="12" t="str">
        <f aca="false">IF($E14="","",IF(1-G14-Parametros!$B$4-K14-Parametros!$B$5&gt;0,(F14+H14+I14+J14+L14)/(1-G14-Parametros!$B$4-K14-Parametros!$B$5),"inviável"))</f>
        <v/>
      </c>
      <c r="U14" s="6" t="str">
        <f aca="false">IF($E14="","",IF(S14&gt;=Parametros!$B$5,"OK",IF(R14&gt;0,"Abaixo da margem mínima","PREJUÍZO")))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1"/>
      <c r="F15" s="11"/>
      <c r="G15" s="13"/>
      <c r="H15" s="11" t="str">
        <f aca="false">IF(E15="","",IF(E15&lt;Parametros!$B$24,Parametros!$B$23,0))</f>
        <v/>
      </c>
      <c r="I15" s="11"/>
      <c r="J15" s="11" t="n">
        <f aca="false">Parametros!$B$12</f>
        <v>2.85714285714286</v>
      </c>
      <c r="K15" s="13" t="n">
        <f aca="false">Parametros!$B$13</f>
        <v>0</v>
      </c>
      <c r="L15" s="11"/>
      <c r="M15" s="16"/>
      <c r="N15" s="12" t="str">
        <f aca="false">IF($E15="","",E15*Parametros!$B$4)</f>
        <v/>
      </c>
      <c r="O15" s="12" t="str">
        <f aca="false">IF($E15="","",E15-F15-E15*G15-H15-I15-J15-E15*K15-N15)</f>
        <v/>
      </c>
      <c r="P15" s="17" t="str">
        <f aca="false">IF($E15="","",O15/E15)</f>
        <v/>
      </c>
      <c r="Q15" s="17" t="str">
        <f aca="false">IF($E15="","",MAX(0,MIN(P15,Parametros!$B$6)))</f>
        <v/>
      </c>
      <c r="R15" s="12" t="str">
        <f aca="false">IF($E15="","",O15-L15)</f>
        <v/>
      </c>
      <c r="S15" s="17" t="str">
        <f aca="false">IF($E15="","",R15/E15)</f>
        <v/>
      </c>
      <c r="T15" s="12" t="str">
        <f aca="false">IF($E15="","",IF(1-G15-Parametros!$B$4-K15-Parametros!$B$5&gt;0,(F15+H15+I15+J15+L15)/(1-G15-Parametros!$B$4-K15-Parametros!$B$5),"inviável"))</f>
        <v/>
      </c>
      <c r="U15" s="6" t="str">
        <f aca="false">IF($E15="","",IF(S15&gt;=Parametros!$B$5,"OK",IF(R15&gt;0,"Abaixo da margem mínima","PREJUÍZO")))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1"/>
      <c r="F16" s="11"/>
      <c r="G16" s="13"/>
      <c r="H16" s="11" t="str">
        <f aca="false">IF(E16="","",IF(E16&lt;Parametros!$B$24,Parametros!$B$23,0))</f>
        <v/>
      </c>
      <c r="I16" s="11"/>
      <c r="J16" s="11" t="n">
        <f aca="false">Parametros!$B$12</f>
        <v>2.85714285714286</v>
      </c>
      <c r="K16" s="13" t="n">
        <f aca="false">Parametros!$B$13</f>
        <v>0</v>
      </c>
      <c r="L16" s="11"/>
      <c r="M16" s="16"/>
      <c r="N16" s="12" t="str">
        <f aca="false">IF($E16="","",E16*Parametros!$B$4)</f>
        <v/>
      </c>
      <c r="O16" s="12" t="str">
        <f aca="false">IF($E16="","",E16-F16-E16*G16-H16-I16-J16-E16*K16-N16)</f>
        <v/>
      </c>
      <c r="P16" s="17" t="str">
        <f aca="false">IF($E16="","",O16/E16)</f>
        <v/>
      </c>
      <c r="Q16" s="17" t="str">
        <f aca="false">IF($E16="","",MAX(0,MIN(P16,Parametros!$B$6)))</f>
        <v/>
      </c>
      <c r="R16" s="12" t="str">
        <f aca="false">IF($E16="","",O16-L16)</f>
        <v/>
      </c>
      <c r="S16" s="17" t="str">
        <f aca="false">IF($E16="","",R16/E16)</f>
        <v/>
      </c>
      <c r="T16" s="12" t="str">
        <f aca="false">IF($E16="","",IF(1-G16-Parametros!$B$4-K16-Parametros!$B$5&gt;0,(F16+H16+I16+J16+L16)/(1-G16-Parametros!$B$4-K16-Parametros!$B$5),"inviável"))</f>
        <v/>
      </c>
      <c r="U16" s="6" t="str">
        <f aca="false">IF($E16="","",IF(S16&gt;=Parametros!$B$5,"OK",IF(R16&gt;0,"Abaixo da margem mínima","PREJUÍZO")))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1"/>
      <c r="F17" s="11"/>
      <c r="G17" s="13"/>
      <c r="H17" s="11" t="str">
        <f aca="false">IF(E17="","",IF(E17&lt;Parametros!$B$24,Parametros!$B$23,0))</f>
        <v/>
      </c>
      <c r="I17" s="11"/>
      <c r="J17" s="11" t="n">
        <f aca="false">Parametros!$B$12</f>
        <v>2.85714285714286</v>
      </c>
      <c r="K17" s="13" t="n">
        <f aca="false">Parametros!$B$13</f>
        <v>0</v>
      </c>
      <c r="L17" s="11"/>
      <c r="M17" s="16"/>
      <c r="N17" s="12" t="str">
        <f aca="false">IF($E17="","",E17*Parametros!$B$4)</f>
        <v/>
      </c>
      <c r="O17" s="12" t="str">
        <f aca="false">IF($E17="","",E17-F17-E17*G17-H17-I17-J17-E17*K17-N17)</f>
        <v/>
      </c>
      <c r="P17" s="17" t="str">
        <f aca="false">IF($E17="","",O17/E17)</f>
        <v/>
      </c>
      <c r="Q17" s="17" t="str">
        <f aca="false">IF($E17="","",MAX(0,MIN(P17,Parametros!$B$6)))</f>
        <v/>
      </c>
      <c r="R17" s="12" t="str">
        <f aca="false">IF($E17="","",O17-L17)</f>
        <v/>
      </c>
      <c r="S17" s="17" t="str">
        <f aca="false">IF($E17="","",R17/E17)</f>
        <v/>
      </c>
      <c r="T17" s="12" t="str">
        <f aca="false">IF($E17="","",IF(1-G17-Parametros!$B$4-K17-Parametros!$B$5&gt;0,(F17+H17+I17+J17+L17)/(1-G17-Parametros!$B$4-K17-Parametros!$B$5),"inviável"))</f>
        <v/>
      </c>
      <c r="U17" s="6" t="str">
        <f aca="false">IF($E17="","",IF(S17&gt;=Parametros!$B$5,"OK",IF(R17&gt;0,"Abaixo da margem mínima","PREJUÍZO")))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1"/>
      <c r="F18" s="11"/>
      <c r="G18" s="13"/>
      <c r="H18" s="11" t="str">
        <f aca="false">IF(E18="","",IF(E18&lt;Parametros!$B$24,Parametros!$B$23,0))</f>
        <v/>
      </c>
      <c r="I18" s="11"/>
      <c r="J18" s="11" t="n">
        <f aca="false">Parametros!$B$12</f>
        <v>2.85714285714286</v>
      </c>
      <c r="K18" s="13" t="n">
        <f aca="false">Parametros!$B$13</f>
        <v>0</v>
      </c>
      <c r="L18" s="11"/>
      <c r="M18" s="16"/>
      <c r="N18" s="12" t="str">
        <f aca="false">IF($E18="","",E18*Parametros!$B$4)</f>
        <v/>
      </c>
      <c r="O18" s="12" t="str">
        <f aca="false">IF($E18="","",E18-F18-E18*G18-H18-I18-J18-E18*K18-N18)</f>
        <v/>
      </c>
      <c r="P18" s="17" t="str">
        <f aca="false">IF($E18="","",O18/E18)</f>
        <v/>
      </c>
      <c r="Q18" s="17" t="str">
        <f aca="false">IF($E18="","",MAX(0,MIN(P18,Parametros!$B$6)))</f>
        <v/>
      </c>
      <c r="R18" s="12" t="str">
        <f aca="false">IF($E18="","",O18-L18)</f>
        <v/>
      </c>
      <c r="S18" s="17" t="str">
        <f aca="false">IF($E18="","",R18/E18)</f>
        <v/>
      </c>
      <c r="T18" s="12" t="str">
        <f aca="false">IF($E18="","",IF(1-G18-Parametros!$B$4-K18-Parametros!$B$5&gt;0,(F18+H18+I18+J18+L18)/(1-G18-Parametros!$B$4-K18-Parametros!$B$5),"inviável"))</f>
        <v/>
      </c>
      <c r="U18" s="6" t="str">
        <f aca="false">IF($E18="","",IF(S18&gt;=Parametros!$B$5,"OK",IF(R18&gt;0,"Abaixo da margem mínima","PREJUÍZO")))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1"/>
      <c r="F19" s="11"/>
      <c r="G19" s="13"/>
      <c r="H19" s="11" t="str">
        <f aca="false">IF(E19="","",IF(E19&lt;Parametros!$B$24,Parametros!$B$23,0))</f>
        <v/>
      </c>
      <c r="I19" s="11"/>
      <c r="J19" s="11" t="n">
        <f aca="false">Parametros!$B$12</f>
        <v>2.85714285714286</v>
      </c>
      <c r="K19" s="13" t="n">
        <f aca="false">Parametros!$B$13</f>
        <v>0</v>
      </c>
      <c r="L19" s="11"/>
      <c r="M19" s="16"/>
      <c r="N19" s="12" t="str">
        <f aca="false">IF($E19="","",E19*Parametros!$B$4)</f>
        <v/>
      </c>
      <c r="O19" s="12" t="str">
        <f aca="false">IF($E19="","",E19-F19-E19*G19-H19-I19-J19-E19*K19-N19)</f>
        <v/>
      </c>
      <c r="P19" s="17" t="str">
        <f aca="false">IF($E19="","",O19/E19)</f>
        <v/>
      </c>
      <c r="Q19" s="17" t="str">
        <f aca="false">IF($E19="","",MAX(0,MIN(P19,Parametros!$B$6)))</f>
        <v/>
      </c>
      <c r="R19" s="12" t="str">
        <f aca="false">IF($E19="","",O19-L19)</f>
        <v/>
      </c>
      <c r="S19" s="17" t="str">
        <f aca="false">IF($E19="","",R19/E19)</f>
        <v/>
      </c>
      <c r="T19" s="12" t="str">
        <f aca="false">IF($E19="","",IF(1-G19-Parametros!$B$4-K19-Parametros!$B$5&gt;0,(F19+H19+I19+J19+L19)/(1-G19-Parametros!$B$4-K19-Parametros!$B$5),"inviável"))</f>
        <v/>
      </c>
      <c r="U19" s="6" t="str">
        <f aca="false">IF($E19="","",IF(S19&gt;=Parametros!$B$5,"OK",IF(R19&gt;0,"Abaixo da margem mínima","PREJUÍZO")))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1"/>
      <c r="F20" s="11"/>
      <c r="G20" s="13"/>
      <c r="H20" s="11" t="str">
        <f aca="false">IF(E20="","",IF(E20&lt;Parametros!$B$24,Parametros!$B$23,0))</f>
        <v/>
      </c>
      <c r="I20" s="11"/>
      <c r="J20" s="11" t="n">
        <f aca="false">Parametros!$B$12</f>
        <v>2.85714285714286</v>
      </c>
      <c r="K20" s="13" t="n">
        <f aca="false">Parametros!$B$13</f>
        <v>0</v>
      </c>
      <c r="L20" s="11"/>
      <c r="M20" s="16"/>
      <c r="N20" s="12" t="str">
        <f aca="false">IF($E20="","",E20*Parametros!$B$4)</f>
        <v/>
      </c>
      <c r="O20" s="12" t="str">
        <f aca="false">IF($E20="","",E20-F20-E20*G20-H20-I20-J20-E20*K20-N20)</f>
        <v/>
      </c>
      <c r="P20" s="17" t="str">
        <f aca="false">IF($E20="","",O20/E20)</f>
        <v/>
      </c>
      <c r="Q20" s="17" t="str">
        <f aca="false">IF($E20="","",MAX(0,MIN(P20,Parametros!$B$6)))</f>
        <v/>
      </c>
      <c r="R20" s="12" t="str">
        <f aca="false">IF($E20="","",O20-L20)</f>
        <v/>
      </c>
      <c r="S20" s="17" t="str">
        <f aca="false">IF($E20="","",R20/E20)</f>
        <v/>
      </c>
      <c r="T20" s="12" t="str">
        <f aca="false">IF($E20="","",IF(1-G20-Parametros!$B$4-K20-Parametros!$B$5&gt;0,(F20+H20+I20+J20+L20)/(1-G20-Parametros!$B$4-K20-Parametros!$B$5),"inviável"))</f>
        <v/>
      </c>
      <c r="U20" s="6" t="str">
        <f aca="false">IF($E20="","",IF(S20&gt;=Parametros!$B$5,"OK",IF(R20&gt;0,"Abaixo da margem mínima","PREJUÍZO")))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1"/>
      <c r="F21" s="11"/>
      <c r="G21" s="13"/>
      <c r="H21" s="11" t="str">
        <f aca="false">IF(E21="","",IF(E21&lt;Parametros!$B$24,Parametros!$B$23,0))</f>
        <v/>
      </c>
      <c r="I21" s="11"/>
      <c r="J21" s="11" t="n">
        <f aca="false">Parametros!$B$12</f>
        <v>2.85714285714286</v>
      </c>
      <c r="K21" s="13" t="n">
        <f aca="false">Parametros!$B$13</f>
        <v>0</v>
      </c>
      <c r="L21" s="11"/>
      <c r="M21" s="16"/>
      <c r="N21" s="12" t="str">
        <f aca="false">IF($E21="","",E21*Parametros!$B$4)</f>
        <v/>
      </c>
      <c r="O21" s="12" t="str">
        <f aca="false">IF($E21="","",E21-F21-E21*G21-H21-I21-J21-E21*K21-N21)</f>
        <v/>
      </c>
      <c r="P21" s="17" t="str">
        <f aca="false">IF($E21="","",O21/E21)</f>
        <v/>
      </c>
      <c r="Q21" s="17" t="str">
        <f aca="false">IF($E21="","",MAX(0,MIN(P21,Parametros!$B$6)))</f>
        <v/>
      </c>
      <c r="R21" s="12" t="str">
        <f aca="false">IF($E21="","",O21-L21)</f>
        <v/>
      </c>
      <c r="S21" s="17" t="str">
        <f aca="false">IF($E21="","",R21/E21)</f>
        <v/>
      </c>
      <c r="T21" s="12" t="str">
        <f aca="false">IF($E21="","",IF(1-G21-Parametros!$B$4-K21-Parametros!$B$5&gt;0,(F21+H21+I21+J21+L21)/(1-G21-Parametros!$B$4-K21-Parametros!$B$5),"inviável"))</f>
        <v/>
      </c>
      <c r="U21" s="6" t="str">
        <f aca="false">IF($E21="","",IF(S21&gt;=Parametros!$B$5,"OK",IF(R21&gt;0,"Abaixo da margem mínima","PREJUÍZO")))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1"/>
      <c r="F22" s="11"/>
      <c r="G22" s="13"/>
      <c r="H22" s="11" t="str">
        <f aca="false">IF(E22="","",IF(E22&lt;Parametros!$B$24,Parametros!$B$23,0))</f>
        <v/>
      </c>
      <c r="I22" s="11"/>
      <c r="J22" s="11" t="n">
        <f aca="false">Parametros!$B$12</f>
        <v>2.85714285714286</v>
      </c>
      <c r="K22" s="13" t="n">
        <f aca="false">Parametros!$B$13</f>
        <v>0</v>
      </c>
      <c r="L22" s="11"/>
      <c r="M22" s="16"/>
      <c r="N22" s="12" t="str">
        <f aca="false">IF($E22="","",E22*Parametros!$B$4)</f>
        <v/>
      </c>
      <c r="O22" s="12" t="str">
        <f aca="false">IF($E22="","",E22-F22-E22*G22-H22-I22-J22-E22*K22-N22)</f>
        <v/>
      </c>
      <c r="P22" s="17" t="str">
        <f aca="false">IF($E22="","",O22/E22)</f>
        <v/>
      </c>
      <c r="Q22" s="17" t="str">
        <f aca="false">IF($E22="","",MAX(0,MIN(P22,Parametros!$B$6)))</f>
        <v/>
      </c>
      <c r="R22" s="12" t="str">
        <f aca="false">IF($E22="","",O22-L22)</f>
        <v/>
      </c>
      <c r="S22" s="17" t="str">
        <f aca="false">IF($E22="","",R22/E22)</f>
        <v/>
      </c>
      <c r="T22" s="12" t="str">
        <f aca="false">IF($E22="","",IF(1-G22-Parametros!$B$4-K22-Parametros!$B$5&gt;0,(F22+H22+I22+J22+L22)/(1-G22-Parametros!$B$4-K22-Parametros!$B$5),"inviável"))</f>
        <v/>
      </c>
      <c r="U22" s="6" t="str">
        <f aca="false">IF($E22="","",IF(S22&gt;=Parametros!$B$5,"OK",IF(R22&gt;0,"Abaixo da margem mínima","PREJUÍZO")))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1"/>
      <c r="F23" s="11"/>
      <c r="G23" s="13"/>
      <c r="H23" s="11" t="str">
        <f aca="false">IF(E23="","",IF(E23&lt;Parametros!$B$24,Parametros!$B$23,0))</f>
        <v/>
      </c>
      <c r="I23" s="11"/>
      <c r="J23" s="11" t="n">
        <f aca="false">Parametros!$B$12</f>
        <v>2.85714285714286</v>
      </c>
      <c r="K23" s="13" t="n">
        <f aca="false">Parametros!$B$13</f>
        <v>0</v>
      </c>
      <c r="L23" s="11"/>
      <c r="M23" s="16"/>
      <c r="N23" s="12" t="str">
        <f aca="false">IF($E23="","",E23*Parametros!$B$4)</f>
        <v/>
      </c>
      <c r="O23" s="12" t="str">
        <f aca="false">IF($E23="","",E23-F23-E23*G23-H23-I23-J23-E23*K23-N23)</f>
        <v/>
      </c>
      <c r="P23" s="17" t="str">
        <f aca="false">IF($E23="","",O23/E23)</f>
        <v/>
      </c>
      <c r="Q23" s="17" t="str">
        <f aca="false">IF($E23="","",MAX(0,MIN(P23,Parametros!$B$6)))</f>
        <v/>
      </c>
      <c r="R23" s="12" t="str">
        <f aca="false">IF($E23="","",O23-L23)</f>
        <v/>
      </c>
      <c r="S23" s="17" t="str">
        <f aca="false">IF($E23="","",R23/E23)</f>
        <v/>
      </c>
      <c r="T23" s="12" t="str">
        <f aca="false">IF($E23="","",IF(1-G23-Parametros!$B$4-K23-Parametros!$B$5&gt;0,(F23+H23+I23+J23+L23)/(1-G23-Parametros!$B$4-K23-Parametros!$B$5),"inviável"))</f>
        <v/>
      </c>
      <c r="U23" s="6" t="str">
        <f aca="false">IF($E23="","",IF(S23&gt;=Parametros!$B$5,"OK",IF(R23&gt;0,"Abaixo da margem mínima","PREJUÍZO")))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1"/>
      <c r="F24" s="11"/>
      <c r="G24" s="13"/>
      <c r="H24" s="11" t="str">
        <f aca="false">IF(E24="","",IF(E24&lt;Parametros!$B$24,Parametros!$B$23,0))</f>
        <v/>
      </c>
      <c r="I24" s="11"/>
      <c r="J24" s="11" t="n">
        <f aca="false">Parametros!$B$12</f>
        <v>2.85714285714286</v>
      </c>
      <c r="K24" s="13" t="n">
        <f aca="false">Parametros!$B$13</f>
        <v>0</v>
      </c>
      <c r="L24" s="11"/>
      <c r="M24" s="16"/>
      <c r="N24" s="12" t="str">
        <f aca="false">IF($E24="","",E24*Parametros!$B$4)</f>
        <v/>
      </c>
      <c r="O24" s="12" t="str">
        <f aca="false">IF($E24="","",E24-F24-E24*G24-H24-I24-J24-E24*K24-N24)</f>
        <v/>
      </c>
      <c r="P24" s="17" t="str">
        <f aca="false">IF($E24="","",O24/E24)</f>
        <v/>
      </c>
      <c r="Q24" s="17" t="str">
        <f aca="false">IF($E24="","",MAX(0,MIN(P24,Parametros!$B$6)))</f>
        <v/>
      </c>
      <c r="R24" s="12" t="str">
        <f aca="false">IF($E24="","",O24-L24)</f>
        <v/>
      </c>
      <c r="S24" s="17" t="str">
        <f aca="false">IF($E24="","",R24/E24)</f>
        <v/>
      </c>
      <c r="T24" s="12" t="str">
        <f aca="false">IF($E24="","",IF(1-G24-Parametros!$B$4-K24-Parametros!$B$5&gt;0,(F24+H24+I24+J24+L24)/(1-G24-Parametros!$B$4-K24-Parametros!$B$5),"inviável"))</f>
        <v/>
      </c>
      <c r="U24" s="6" t="str">
        <f aca="false">IF($E24="","",IF(S24&gt;=Parametros!$B$5,"OK",IF(R24&gt;0,"Abaixo da margem mínima","PREJUÍZO")))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1"/>
      <c r="F25" s="11"/>
      <c r="G25" s="13"/>
      <c r="H25" s="11" t="str">
        <f aca="false">IF(E25="","",IF(E25&lt;Parametros!$B$24,Parametros!$B$23,0))</f>
        <v/>
      </c>
      <c r="I25" s="11"/>
      <c r="J25" s="11" t="n">
        <f aca="false">Parametros!$B$12</f>
        <v>2.85714285714286</v>
      </c>
      <c r="K25" s="13" t="n">
        <f aca="false">Parametros!$B$13</f>
        <v>0</v>
      </c>
      <c r="L25" s="11"/>
      <c r="M25" s="16"/>
      <c r="N25" s="12" t="str">
        <f aca="false">IF($E25="","",E25*Parametros!$B$4)</f>
        <v/>
      </c>
      <c r="O25" s="12" t="str">
        <f aca="false">IF($E25="","",E25-F25-E25*G25-H25-I25-J25-E25*K25-N25)</f>
        <v/>
      </c>
      <c r="P25" s="17" t="str">
        <f aca="false">IF($E25="","",O25/E25)</f>
        <v/>
      </c>
      <c r="Q25" s="17" t="str">
        <f aca="false">IF($E25="","",MAX(0,MIN(P25,Parametros!$B$6)))</f>
        <v/>
      </c>
      <c r="R25" s="12" t="str">
        <f aca="false">IF($E25="","",O25-L25)</f>
        <v/>
      </c>
      <c r="S25" s="17" t="str">
        <f aca="false">IF($E25="","",R25/E25)</f>
        <v/>
      </c>
      <c r="T25" s="12" t="str">
        <f aca="false">IF($E25="","",IF(1-G25-Parametros!$B$4-K25-Parametros!$B$5&gt;0,(F25+H25+I25+J25+L25)/(1-G25-Parametros!$B$4-K25-Parametros!$B$5),"inviável"))</f>
        <v/>
      </c>
      <c r="U25" s="6" t="str">
        <f aca="false">IF($E25="","",IF(S25&gt;=Parametros!$B$5,"OK",IF(R25&gt;0,"Abaixo da margem mínima","PREJUÍZO")))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1"/>
      <c r="F26" s="11"/>
      <c r="G26" s="13"/>
      <c r="H26" s="11" t="str">
        <f aca="false">IF(E26="","",IF(E26&lt;Parametros!$B$24,Parametros!$B$23,0))</f>
        <v/>
      </c>
      <c r="I26" s="11"/>
      <c r="J26" s="11" t="n">
        <f aca="false">Parametros!$B$12</f>
        <v>2.85714285714286</v>
      </c>
      <c r="K26" s="13" t="n">
        <f aca="false">Parametros!$B$13</f>
        <v>0</v>
      </c>
      <c r="L26" s="11"/>
      <c r="M26" s="16"/>
      <c r="N26" s="12" t="str">
        <f aca="false">IF($E26="","",E26*Parametros!$B$4)</f>
        <v/>
      </c>
      <c r="O26" s="12" t="str">
        <f aca="false">IF($E26="","",E26-F26-E26*G26-H26-I26-J26-E26*K26-N26)</f>
        <v/>
      </c>
      <c r="P26" s="17" t="str">
        <f aca="false">IF($E26="","",O26/E26)</f>
        <v/>
      </c>
      <c r="Q26" s="17" t="str">
        <f aca="false">IF($E26="","",MAX(0,MIN(P26,Parametros!$B$6)))</f>
        <v/>
      </c>
      <c r="R26" s="12" t="str">
        <f aca="false">IF($E26="","",O26-L26)</f>
        <v/>
      </c>
      <c r="S26" s="17" t="str">
        <f aca="false">IF($E26="","",R26/E26)</f>
        <v/>
      </c>
      <c r="T26" s="12" t="str">
        <f aca="false">IF($E26="","",IF(1-G26-Parametros!$B$4-K26-Parametros!$B$5&gt;0,(F26+H26+I26+J26+L26)/(1-G26-Parametros!$B$4-K26-Parametros!$B$5),"inviável"))</f>
        <v/>
      </c>
      <c r="U26" s="6" t="str">
        <f aca="false">IF($E26="","",IF(S26&gt;=Parametros!$B$5,"OK",IF(R26&gt;0,"Abaixo da margem mínima","PREJUÍZO")))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1"/>
      <c r="F27" s="11"/>
      <c r="G27" s="13"/>
      <c r="H27" s="11" t="str">
        <f aca="false">IF(E27="","",IF(E27&lt;Parametros!$B$24,Parametros!$B$23,0))</f>
        <v/>
      </c>
      <c r="I27" s="11"/>
      <c r="J27" s="11" t="n">
        <f aca="false">Parametros!$B$12</f>
        <v>2.85714285714286</v>
      </c>
      <c r="K27" s="13" t="n">
        <f aca="false">Parametros!$B$13</f>
        <v>0</v>
      </c>
      <c r="L27" s="11"/>
      <c r="M27" s="16"/>
      <c r="N27" s="12" t="str">
        <f aca="false">IF($E27="","",E27*Parametros!$B$4)</f>
        <v/>
      </c>
      <c r="O27" s="12" t="str">
        <f aca="false">IF($E27="","",E27-F27-E27*G27-H27-I27-J27-E27*K27-N27)</f>
        <v/>
      </c>
      <c r="P27" s="17" t="str">
        <f aca="false">IF($E27="","",O27/E27)</f>
        <v/>
      </c>
      <c r="Q27" s="17" t="str">
        <f aca="false">IF($E27="","",MAX(0,MIN(P27,Parametros!$B$6)))</f>
        <v/>
      </c>
      <c r="R27" s="12" t="str">
        <f aca="false">IF($E27="","",O27-L27)</f>
        <v/>
      </c>
      <c r="S27" s="17" t="str">
        <f aca="false">IF($E27="","",R27/E27)</f>
        <v/>
      </c>
      <c r="T27" s="12" t="str">
        <f aca="false">IF($E27="","",IF(1-G27-Parametros!$B$4-K27-Parametros!$B$5&gt;0,(F27+H27+I27+J27+L27)/(1-G27-Parametros!$B$4-K27-Parametros!$B$5),"inviável"))</f>
        <v/>
      </c>
      <c r="U27" s="6" t="str">
        <f aca="false">IF($E27="","",IF(S27&gt;=Parametros!$B$5,"OK",IF(R27&gt;0,"Abaixo da margem mínima","PREJUÍZO")))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1"/>
      <c r="F28" s="11"/>
      <c r="G28" s="13"/>
      <c r="H28" s="11" t="str">
        <f aca="false">IF(E28="","",IF(E28&lt;Parametros!$B$24,Parametros!$B$23,0))</f>
        <v/>
      </c>
      <c r="I28" s="11"/>
      <c r="J28" s="11" t="n">
        <f aca="false">Parametros!$B$12</f>
        <v>2.85714285714286</v>
      </c>
      <c r="K28" s="13" t="n">
        <f aca="false">Parametros!$B$13</f>
        <v>0</v>
      </c>
      <c r="L28" s="11"/>
      <c r="M28" s="16"/>
      <c r="N28" s="12" t="str">
        <f aca="false">IF($E28="","",E28*Parametros!$B$4)</f>
        <v/>
      </c>
      <c r="O28" s="12" t="str">
        <f aca="false">IF($E28="","",E28-F28-E28*G28-H28-I28-J28-E28*K28-N28)</f>
        <v/>
      </c>
      <c r="P28" s="17" t="str">
        <f aca="false">IF($E28="","",O28/E28)</f>
        <v/>
      </c>
      <c r="Q28" s="17" t="str">
        <f aca="false">IF($E28="","",MAX(0,MIN(P28,Parametros!$B$6)))</f>
        <v/>
      </c>
      <c r="R28" s="12" t="str">
        <f aca="false">IF($E28="","",O28-L28)</f>
        <v/>
      </c>
      <c r="S28" s="17" t="str">
        <f aca="false">IF($E28="","",R28/E28)</f>
        <v/>
      </c>
      <c r="T28" s="12" t="str">
        <f aca="false">IF($E28="","",IF(1-G28-Parametros!$B$4-K28-Parametros!$B$5&gt;0,(F28+H28+I28+J28+L28)/(1-G28-Parametros!$B$4-K28-Parametros!$B$5),"inviável"))</f>
        <v/>
      </c>
      <c r="U28" s="6" t="str">
        <f aca="false">IF($E28="","",IF(S28&gt;=Parametros!$B$5,"OK",IF(R28&gt;0,"Abaixo da margem mínima","PREJUÍZO")))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1"/>
      <c r="F29" s="11"/>
      <c r="G29" s="13"/>
      <c r="H29" s="11" t="str">
        <f aca="false">IF(E29="","",IF(E29&lt;Parametros!$B$24,Parametros!$B$23,0))</f>
        <v/>
      </c>
      <c r="I29" s="11"/>
      <c r="J29" s="11" t="n">
        <f aca="false">Parametros!$B$12</f>
        <v>2.85714285714286</v>
      </c>
      <c r="K29" s="13" t="n">
        <f aca="false">Parametros!$B$13</f>
        <v>0</v>
      </c>
      <c r="L29" s="11"/>
      <c r="M29" s="16"/>
      <c r="N29" s="12" t="str">
        <f aca="false">IF($E29="","",E29*Parametros!$B$4)</f>
        <v/>
      </c>
      <c r="O29" s="12" t="str">
        <f aca="false">IF($E29="","",E29-F29-E29*G29-H29-I29-J29-E29*K29-N29)</f>
        <v/>
      </c>
      <c r="P29" s="17" t="str">
        <f aca="false">IF($E29="","",O29/E29)</f>
        <v/>
      </c>
      <c r="Q29" s="17" t="str">
        <f aca="false">IF($E29="","",MAX(0,MIN(P29,Parametros!$B$6)))</f>
        <v/>
      </c>
      <c r="R29" s="12" t="str">
        <f aca="false">IF($E29="","",O29-L29)</f>
        <v/>
      </c>
      <c r="S29" s="17" t="str">
        <f aca="false">IF($E29="","",R29/E29)</f>
        <v/>
      </c>
      <c r="T29" s="12" t="str">
        <f aca="false">IF($E29="","",IF(1-G29-Parametros!$B$4-K29-Parametros!$B$5&gt;0,(F29+H29+I29+J29+L29)/(1-G29-Parametros!$B$4-K29-Parametros!$B$5),"inviável"))</f>
        <v/>
      </c>
      <c r="U29" s="6" t="str">
        <f aca="false">IF($E29="","",IF(S29&gt;=Parametros!$B$5,"OK",IF(R29&gt;0,"Abaixo da margem mínima","PREJUÍZO")))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1"/>
      <c r="F30" s="11"/>
      <c r="G30" s="13"/>
      <c r="H30" s="11" t="str">
        <f aca="false">IF(E30="","",IF(E30&lt;Parametros!$B$24,Parametros!$B$23,0))</f>
        <v/>
      </c>
      <c r="I30" s="11"/>
      <c r="J30" s="11" t="n">
        <f aca="false">Parametros!$B$12</f>
        <v>2.85714285714286</v>
      </c>
      <c r="K30" s="13" t="n">
        <f aca="false">Parametros!$B$13</f>
        <v>0</v>
      </c>
      <c r="L30" s="11"/>
      <c r="M30" s="16"/>
      <c r="N30" s="12" t="str">
        <f aca="false">IF($E30="","",E30*Parametros!$B$4)</f>
        <v/>
      </c>
      <c r="O30" s="12" t="str">
        <f aca="false">IF($E30="","",E30-F30-E30*G30-H30-I30-J30-E30*K30-N30)</f>
        <v/>
      </c>
      <c r="P30" s="17" t="str">
        <f aca="false">IF($E30="","",O30/E30)</f>
        <v/>
      </c>
      <c r="Q30" s="17" t="str">
        <f aca="false">IF($E30="","",MAX(0,MIN(P30,Parametros!$B$6)))</f>
        <v/>
      </c>
      <c r="R30" s="12" t="str">
        <f aca="false">IF($E30="","",O30-L30)</f>
        <v/>
      </c>
      <c r="S30" s="17" t="str">
        <f aca="false">IF($E30="","",R30/E30)</f>
        <v/>
      </c>
      <c r="T30" s="12" t="str">
        <f aca="false">IF($E30="","",IF(1-G30-Parametros!$B$4-K30-Parametros!$B$5&gt;0,(F30+H30+I30+J30+L30)/(1-G30-Parametros!$B$4-K30-Parametros!$B$5),"inviável"))</f>
        <v/>
      </c>
      <c r="U30" s="6" t="str">
        <f aca="false">IF($E30="","",IF(S30&gt;=Parametros!$B$5,"OK",IF(R30&gt;0,"Abaixo da margem mínima","PREJUÍZO")))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1"/>
      <c r="F31" s="11"/>
      <c r="G31" s="13"/>
      <c r="H31" s="11" t="str">
        <f aca="false">IF(E31="","",IF(E31&lt;Parametros!$B$24,Parametros!$B$23,0))</f>
        <v/>
      </c>
      <c r="I31" s="11"/>
      <c r="J31" s="11" t="n">
        <f aca="false">Parametros!$B$12</f>
        <v>2.85714285714286</v>
      </c>
      <c r="K31" s="13" t="n">
        <f aca="false">Parametros!$B$13</f>
        <v>0</v>
      </c>
      <c r="L31" s="11"/>
      <c r="M31" s="16"/>
      <c r="N31" s="12" t="str">
        <f aca="false">IF($E31="","",E31*Parametros!$B$4)</f>
        <v/>
      </c>
      <c r="O31" s="12" t="str">
        <f aca="false">IF($E31="","",E31-F31-E31*G31-H31-I31-J31-E31*K31-N31)</f>
        <v/>
      </c>
      <c r="P31" s="17" t="str">
        <f aca="false">IF($E31="","",O31/E31)</f>
        <v/>
      </c>
      <c r="Q31" s="17" t="str">
        <f aca="false">IF($E31="","",MAX(0,MIN(P31,Parametros!$B$6)))</f>
        <v/>
      </c>
      <c r="R31" s="12" t="str">
        <f aca="false">IF($E31="","",O31-L31)</f>
        <v/>
      </c>
      <c r="S31" s="17" t="str">
        <f aca="false">IF($E31="","",R31/E31)</f>
        <v/>
      </c>
      <c r="T31" s="12" t="str">
        <f aca="false">IF($E31="","",IF(1-G31-Parametros!$B$4-K31-Parametros!$B$5&gt;0,(F31+H31+I31+J31+L31)/(1-G31-Parametros!$B$4-K31-Parametros!$B$5),"inviável"))</f>
        <v/>
      </c>
      <c r="U31" s="6" t="str">
        <f aca="false">IF($E31="","",IF(S31&gt;=Parametros!$B$5,"OK",IF(R31&gt;0,"Abaixo da margem mínima","PREJUÍZO")))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1"/>
      <c r="F32" s="11"/>
      <c r="G32" s="13"/>
      <c r="H32" s="11" t="str">
        <f aca="false">IF(E32="","",IF(E32&lt;Parametros!$B$24,Parametros!$B$23,0))</f>
        <v/>
      </c>
      <c r="I32" s="11"/>
      <c r="J32" s="11" t="n">
        <f aca="false">Parametros!$B$12</f>
        <v>2.85714285714286</v>
      </c>
      <c r="K32" s="13" t="n">
        <f aca="false">Parametros!$B$13</f>
        <v>0</v>
      </c>
      <c r="L32" s="11"/>
      <c r="M32" s="16"/>
      <c r="N32" s="12" t="str">
        <f aca="false">IF($E32="","",E32*Parametros!$B$4)</f>
        <v/>
      </c>
      <c r="O32" s="12" t="str">
        <f aca="false">IF($E32="","",E32-F32-E32*G32-H32-I32-J32-E32*K32-N32)</f>
        <v/>
      </c>
      <c r="P32" s="17" t="str">
        <f aca="false">IF($E32="","",O32/E32)</f>
        <v/>
      </c>
      <c r="Q32" s="17" t="str">
        <f aca="false">IF($E32="","",MAX(0,MIN(P32,Parametros!$B$6)))</f>
        <v/>
      </c>
      <c r="R32" s="12" t="str">
        <f aca="false">IF($E32="","",O32-L32)</f>
        <v/>
      </c>
      <c r="S32" s="17" t="str">
        <f aca="false">IF($E32="","",R32/E32)</f>
        <v/>
      </c>
      <c r="T32" s="12" t="str">
        <f aca="false">IF($E32="","",IF(1-G32-Parametros!$B$4-K32-Parametros!$B$5&gt;0,(F32+H32+I32+J32+L32)/(1-G32-Parametros!$B$4-K32-Parametros!$B$5),"inviável"))</f>
        <v/>
      </c>
      <c r="U32" s="6" t="str">
        <f aca="false">IF($E32="","",IF(S32&gt;=Parametros!$B$5,"OK",IF(R32&gt;0,"Abaixo da margem mínima","PREJUÍZO")))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1"/>
      <c r="F33" s="11"/>
      <c r="G33" s="13"/>
      <c r="H33" s="11" t="str">
        <f aca="false">IF(E33="","",IF(E33&lt;Parametros!$B$24,Parametros!$B$23,0))</f>
        <v/>
      </c>
      <c r="I33" s="11"/>
      <c r="J33" s="11" t="n">
        <f aca="false">Parametros!$B$12</f>
        <v>2.85714285714286</v>
      </c>
      <c r="K33" s="13" t="n">
        <f aca="false">Parametros!$B$13</f>
        <v>0</v>
      </c>
      <c r="L33" s="11"/>
      <c r="M33" s="16"/>
      <c r="N33" s="12" t="str">
        <f aca="false">IF($E33="","",E33*Parametros!$B$4)</f>
        <v/>
      </c>
      <c r="O33" s="12" t="str">
        <f aca="false">IF($E33="","",E33-F33-E33*G33-H33-I33-J33-E33*K33-N33)</f>
        <v/>
      </c>
      <c r="P33" s="17" t="str">
        <f aca="false">IF($E33="","",O33/E33)</f>
        <v/>
      </c>
      <c r="Q33" s="17" t="str">
        <f aca="false">IF($E33="","",MAX(0,MIN(P33,Parametros!$B$6)))</f>
        <v/>
      </c>
      <c r="R33" s="12" t="str">
        <f aca="false">IF($E33="","",O33-L33)</f>
        <v/>
      </c>
      <c r="S33" s="17" t="str">
        <f aca="false">IF($E33="","",R33/E33)</f>
        <v/>
      </c>
      <c r="T33" s="12" t="str">
        <f aca="false">IF($E33="","",IF(1-G33-Parametros!$B$4-K33-Parametros!$B$5&gt;0,(F33+H33+I33+J33+L33)/(1-G33-Parametros!$B$4-K33-Parametros!$B$5),"inviável"))</f>
        <v/>
      </c>
      <c r="U33" s="6" t="str">
        <f aca="false">IF($E33="","",IF(S33&gt;=Parametros!$B$5,"OK",IF(R33&gt;0,"Abaixo da margem mínima","PREJUÍZO")))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1"/>
      <c r="F34" s="11"/>
      <c r="G34" s="13"/>
      <c r="H34" s="11" t="str">
        <f aca="false">IF(E34="","",IF(E34&lt;Parametros!$B$24,Parametros!$B$23,0))</f>
        <v/>
      </c>
      <c r="I34" s="11"/>
      <c r="J34" s="11" t="n">
        <f aca="false">Parametros!$B$12</f>
        <v>2.85714285714286</v>
      </c>
      <c r="K34" s="13" t="n">
        <f aca="false">Parametros!$B$13</f>
        <v>0</v>
      </c>
      <c r="L34" s="11"/>
      <c r="M34" s="16"/>
      <c r="N34" s="12" t="str">
        <f aca="false">IF($E34="","",E34*Parametros!$B$4)</f>
        <v/>
      </c>
      <c r="O34" s="12" t="str">
        <f aca="false">IF($E34="","",E34-F34-E34*G34-H34-I34-J34-E34*K34-N34)</f>
        <v/>
      </c>
      <c r="P34" s="17" t="str">
        <f aca="false">IF($E34="","",O34/E34)</f>
        <v/>
      </c>
      <c r="Q34" s="17" t="str">
        <f aca="false">IF($E34="","",MAX(0,MIN(P34,Parametros!$B$6)))</f>
        <v/>
      </c>
      <c r="R34" s="12" t="str">
        <f aca="false">IF($E34="","",O34-L34)</f>
        <v/>
      </c>
      <c r="S34" s="17" t="str">
        <f aca="false">IF($E34="","",R34/E34)</f>
        <v/>
      </c>
      <c r="T34" s="12" t="str">
        <f aca="false">IF($E34="","",IF(1-G34-Parametros!$B$4-K34-Parametros!$B$5&gt;0,(F34+H34+I34+J34+L34)/(1-G34-Parametros!$B$4-K34-Parametros!$B$5),"inviável"))</f>
        <v/>
      </c>
      <c r="U34" s="6" t="str">
        <f aca="false">IF($E34="","",IF(S34&gt;=Parametros!$B$5,"OK",IF(R34&gt;0,"Abaixo da margem mínima","PREJUÍZO")))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1"/>
      <c r="F35" s="11"/>
      <c r="G35" s="13"/>
      <c r="H35" s="11" t="str">
        <f aca="false">IF(E35="","",IF(E35&lt;Parametros!$B$24,Parametros!$B$23,0))</f>
        <v/>
      </c>
      <c r="I35" s="11"/>
      <c r="J35" s="11" t="n">
        <f aca="false">Parametros!$B$12</f>
        <v>2.85714285714286</v>
      </c>
      <c r="K35" s="13" t="n">
        <f aca="false">Parametros!$B$13</f>
        <v>0</v>
      </c>
      <c r="L35" s="11"/>
      <c r="M35" s="16"/>
      <c r="N35" s="12" t="str">
        <f aca="false">IF($E35="","",E35*Parametros!$B$4)</f>
        <v/>
      </c>
      <c r="O35" s="12" t="str">
        <f aca="false">IF($E35="","",E35-F35-E35*G35-H35-I35-J35-E35*K35-N35)</f>
        <v/>
      </c>
      <c r="P35" s="17" t="str">
        <f aca="false">IF($E35="","",O35/E35)</f>
        <v/>
      </c>
      <c r="Q35" s="17" t="str">
        <f aca="false">IF($E35="","",MAX(0,MIN(P35,Parametros!$B$6)))</f>
        <v/>
      </c>
      <c r="R35" s="12" t="str">
        <f aca="false">IF($E35="","",O35-L35)</f>
        <v/>
      </c>
      <c r="S35" s="17" t="str">
        <f aca="false">IF($E35="","",R35/E35)</f>
        <v/>
      </c>
      <c r="T35" s="12" t="str">
        <f aca="false">IF($E35="","",IF(1-G35-Parametros!$B$4-K35-Parametros!$B$5&gt;0,(F35+H35+I35+J35+L35)/(1-G35-Parametros!$B$4-K35-Parametros!$B$5),"inviável"))</f>
        <v/>
      </c>
      <c r="U35" s="6" t="str">
        <f aca="false">IF($E35="","",IF(S35&gt;=Parametros!$B$5,"OK",IF(R35&gt;0,"Abaixo da margem mínima","PREJUÍZO")))</f>
        <v/>
      </c>
    </row>
  </sheetData>
  <conditionalFormatting sqref="U6:U3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"PREJUÍZO"</formula>
    </cfRule>
    <cfRule type="cellIs" priority="4" operator="equal" aboveAverage="0" equalAverage="0" bottom="0" percent="0" rank="0" text="" dxfId="2">
      <formula>"Abaixo da margem mínima"</formula>
    </cfRule>
  </conditionalFormatting>
  <dataValidations count="2">
    <dataValidation allowBlank="true" errorStyle="stop" operator="between" showDropDown="false" showErrorMessage="false" showInputMessage="false" sqref="D6:D35" type="list">
      <formula1>"Full,Coleta,Shopee"</formula1>
      <formula2>0</formula2>
    </dataValidation>
    <dataValidation allowBlank="true" errorStyle="stop" operator="between" showDropDown="false" showErrorMessage="false" showInputMessage="false" sqref="M6:M35" type="list">
      <formula1>"Real,Estimativa,Hipótese"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13"/>
    <col collapsed="false" customWidth="true" hidden="false" outlineLevel="0" max="15" min="15" style="0" width="26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4" t="s">
        <v>91</v>
      </c>
    </row>
    <row r="2" customFormat="false" ht="15" hidden="false" customHeight="false" outlineLevel="0" collapsed="false">
      <c r="A2" s="15" t="s">
        <v>92</v>
      </c>
    </row>
    <row r="5" customFormat="false" ht="48" hidden="false" customHeight="true" outlineLevel="0" collapsed="false">
      <c r="A5" s="5" t="s">
        <v>93</v>
      </c>
      <c r="B5" s="5" t="s">
        <v>94</v>
      </c>
      <c r="C5" s="5" t="s">
        <v>95</v>
      </c>
      <c r="D5" s="5" t="s">
        <v>96</v>
      </c>
      <c r="E5" s="5" t="s">
        <v>97</v>
      </c>
      <c r="F5" s="5" t="s">
        <v>98</v>
      </c>
      <c r="G5" s="5" t="s">
        <v>99</v>
      </c>
      <c r="H5" s="5" t="s">
        <v>100</v>
      </c>
      <c r="I5" s="5" t="s">
        <v>101</v>
      </c>
      <c r="J5" s="5" t="s">
        <v>102</v>
      </c>
      <c r="K5" s="5" t="s">
        <v>103</v>
      </c>
      <c r="L5" s="5" t="s">
        <v>104</v>
      </c>
      <c r="M5" s="5" t="s">
        <v>105</v>
      </c>
      <c r="N5" s="5" t="s">
        <v>106</v>
      </c>
      <c r="O5" s="5" t="s">
        <v>107</v>
      </c>
      <c r="P5" s="5" t="s">
        <v>68</v>
      </c>
    </row>
    <row r="6" customFormat="false" ht="15" hidden="false" customHeight="false" outlineLevel="0" collapsed="false">
      <c r="A6" s="16" t="s">
        <v>108</v>
      </c>
      <c r="B6" s="16" t="s">
        <v>109</v>
      </c>
      <c r="C6" s="16" t="s">
        <v>86</v>
      </c>
      <c r="D6" s="14" t="n">
        <v>10000</v>
      </c>
      <c r="E6" s="14" t="n">
        <v>100</v>
      </c>
      <c r="F6" s="11" t="n">
        <v>20</v>
      </c>
      <c r="G6" s="11" t="n">
        <v>400</v>
      </c>
      <c r="H6" s="14" t="n">
        <v>4</v>
      </c>
      <c r="I6" s="17" t="n">
        <f aca="false">IF(D6&gt;0,E6/D6,"")</f>
        <v>0.01</v>
      </c>
      <c r="J6" s="12" t="n">
        <f aca="false">IF(E6&gt;0,F6/E6,"")</f>
        <v>0.2</v>
      </c>
      <c r="K6" s="17" t="n">
        <f aca="false">IF(E6&gt;0,H6/E6,"")</f>
        <v>0.04</v>
      </c>
      <c r="L6" s="17" t="n">
        <f aca="false">IF(G6&gt;0,F6/G6,"")</f>
        <v>0.05</v>
      </c>
      <c r="M6" s="18" t="n">
        <f aca="false">IF(F6&gt;0,G6/F6,"")</f>
        <v>20</v>
      </c>
      <c r="N6" s="17" t="n">
        <f aca="false">IFERROR(INDEX(Custos_SKU!$Q$6:$Q$35,MATCH($C6,Custos_SKU!$A$6:$A$35,0)),"")</f>
        <v>0.08</v>
      </c>
      <c r="O6" s="6" t="str">
        <f aca="false">IF(F6="","",IF(AND(F6&gt;0,G6=0),"Gasto sem venda",IF(OR(L6="",N6=""),"Sem teto/ACOS",IF(L6&lt;=N6,"Dentro do teto","ACIMA do teto"))))</f>
        <v>Dentro do teto</v>
      </c>
      <c r="P6" s="16" t="s">
        <v>110</v>
      </c>
    </row>
    <row r="7" customFormat="false" ht="15" hidden="false" customHeight="false" outlineLevel="0" collapsed="false">
      <c r="A7" s="16"/>
      <c r="B7" s="16"/>
      <c r="C7" s="16"/>
      <c r="D7" s="14"/>
      <c r="E7" s="14"/>
      <c r="F7" s="11"/>
      <c r="G7" s="11"/>
      <c r="H7" s="14"/>
      <c r="I7" s="17" t="str">
        <f aca="false">IF(D7&gt;0,E7/D7,"")</f>
        <v/>
      </c>
      <c r="J7" s="12" t="str">
        <f aca="false">IF(E7&gt;0,F7/E7,"")</f>
        <v/>
      </c>
      <c r="K7" s="17" t="str">
        <f aca="false">IF(E7&gt;0,H7/E7,"")</f>
        <v/>
      </c>
      <c r="L7" s="17" t="str">
        <f aca="false">IF(G7&gt;0,F7/G7,"")</f>
        <v/>
      </c>
      <c r="M7" s="18" t="str">
        <f aca="false">IF(F7&gt;0,G7/F7,"")</f>
        <v/>
      </c>
      <c r="N7" s="17" t="str">
        <f aca="false">IFERROR(INDEX(Custos_SKU!$Q$6:$Q$35,MATCH($C7,Custos_SKU!$A$6:$A$35,0)),"")</f>
        <v/>
      </c>
      <c r="O7" s="6" t="str">
        <f aca="false">IF(F7="","",IF(AND(F7&gt;0,G7=0),"Gasto sem venda",IF(OR(L7="",N7=""),"Sem teto/ACOS",IF(L7&lt;=N7,"Dentro do teto","ACIMA do teto"))))</f>
        <v/>
      </c>
      <c r="P7" s="16"/>
    </row>
    <row r="8" customFormat="false" ht="15" hidden="false" customHeight="false" outlineLevel="0" collapsed="false">
      <c r="A8" s="16"/>
      <c r="B8" s="16"/>
      <c r="C8" s="16"/>
      <c r="D8" s="14"/>
      <c r="E8" s="14"/>
      <c r="F8" s="11"/>
      <c r="G8" s="11"/>
      <c r="H8" s="14"/>
      <c r="I8" s="17" t="str">
        <f aca="false">IF(D8&gt;0,E8/D8,"")</f>
        <v/>
      </c>
      <c r="J8" s="12" t="str">
        <f aca="false">IF(E8&gt;0,F8/E8,"")</f>
        <v/>
      </c>
      <c r="K8" s="17" t="str">
        <f aca="false">IF(E8&gt;0,H8/E8,"")</f>
        <v/>
      </c>
      <c r="L8" s="17" t="str">
        <f aca="false">IF(G8&gt;0,F8/G8,"")</f>
        <v/>
      </c>
      <c r="M8" s="18" t="str">
        <f aca="false">IF(F8&gt;0,G8/F8,"")</f>
        <v/>
      </c>
      <c r="N8" s="17" t="str">
        <f aca="false">IFERROR(INDEX(Custos_SKU!$Q$6:$Q$35,MATCH($C8,Custos_SKU!$A$6:$A$35,0)),"")</f>
        <v/>
      </c>
      <c r="O8" s="6" t="str">
        <f aca="false">IF(F8="","",IF(AND(F8&gt;0,G8=0),"Gasto sem venda",IF(OR(L8="",N8=""),"Sem teto/ACOS",IF(L8&lt;=N8,"Dentro do teto","ACIMA do teto"))))</f>
        <v/>
      </c>
      <c r="P8" s="16"/>
    </row>
    <row r="9" customFormat="false" ht="15" hidden="false" customHeight="false" outlineLevel="0" collapsed="false">
      <c r="A9" s="16"/>
      <c r="B9" s="16"/>
      <c r="C9" s="16"/>
      <c r="D9" s="14"/>
      <c r="E9" s="14"/>
      <c r="F9" s="11"/>
      <c r="G9" s="11"/>
      <c r="H9" s="14"/>
      <c r="I9" s="17" t="str">
        <f aca="false">IF(D9&gt;0,E9/D9,"")</f>
        <v/>
      </c>
      <c r="J9" s="12" t="str">
        <f aca="false">IF(E9&gt;0,F9/E9,"")</f>
        <v/>
      </c>
      <c r="K9" s="17" t="str">
        <f aca="false">IF(E9&gt;0,H9/E9,"")</f>
        <v/>
      </c>
      <c r="L9" s="17" t="str">
        <f aca="false">IF(G9&gt;0,F9/G9,"")</f>
        <v/>
      </c>
      <c r="M9" s="18" t="str">
        <f aca="false">IF(F9&gt;0,G9/F9,"")</f>
        <v/>
      </c>
      <c r="N9" s="17" t="str">
        <f aca="false">IFERROR(INDEX(Custos_SKU!$Q$6:$Q$35,MATCH($C9,Custos_SKU!$A$6:$A$35,0)),"")</f>
        <v/>
      </c>
      <c r="O9" s="6" t="str">
        <f aca="false">IF(F9="","",IF(AND(F9&gt;0,G9=0),"Gasto sem venda",IF(OR(L9="",N9=""),"Sem teto/ACOS",IF(L9&lt;=N9,"Dentro do teto","ACIMA do teto"))))</f>
        <v/>
      </c>
      <c r="P9" s="16"/>
    </row>
    <row r="10" customFormat="false" ht="15" hidden="false" customHeight="false" outlineLevel="0" collapsed="false">
      <c r="A10" s="16"/>
      <c r="B10" s="16"/>
      <c r="C10" s="16"/>
      <c r="D10" s="14"/>
      <c r="E10" s="14"/>
      <c r="F10" s="11"/>
      <c r="G10" s="11"/>
      <c r="H10" s="14"/>
      <c r="I10" s="17" t="str">
        <f aca="false">IF(D10&gt;0,E10/D10,"")</f>
        <v/>
      </c>
      <c r="J10" s="12" t="str">
        <f aca="false">IF(E10&gt;0,F10/E10,"")</f>
        <v/>
      </c>
      <c r="K10" s="17" t="str">
        <f aca="false">IF(E10&gt;0,H10/E10,"")</f>
        <v/>
      </c>
      <c r="L10" s="17" t="str">
        <f aca="false">IF(G10&gt;0,F10/G10,"")</f>
        <v/>
      </c>
      <c r="M10" s="18" t="str">
        <f aca="false">IF(F10&gt;0,G10/F10,"")</f>
        <v/>
      </c>
      <c r="N10" s="17" t="str">
        <f aca="false">IFERROR(INDEX(Custos_SKU!$Q$6:$Q$35,MATCH($C10,Custos_SKU!$A$6:$A$35,0)),"")</f>
        <v/>
      </c>
      <c r="O10" s="6" t="str">
        <f aca="false">IF(F10="","",IF(AND(F10&gt;0,G10=0),"Gasto sem venda",IF(OR(L10="",N10=""),"Sem teto/ACOS",IF(L10&lt;=N10,"Dentro do teto","ACIMA do teto"))))</f>
        <v/>
      </c>
      <c r="P10" s="16"/>
    </row>
    <row r="11" customFormat="false" ht="15" hidden="false" customHeight="false" outlineLevel="0" collapsed="false">
      <c r="A11" s="16"/>
      <c r="B11" s="16"/>
      <c r="C11" s="16"/>
      <c r="D11" s="14"/>
      <c r="E11" s="14"/>
      <c r="F11" s="11"/>
      <c r="G11" s="11"/>
      <c r="H11" s="14"/>
      <c r="I11" s="17" t="str">
        <f aca="false">IF(D11&gt;0,E11/D11,"")</f>
        <v/>
      </c>
      <c r="J11" s="12" t="str">
        <f aca="false">IF(E11&gt;0,F11/E11,"")</f>
        <v/>
      </c>
      <c r="K11" s="17" t="str">
        <f aca="false">IF(E11&gt;0,H11/E11,"")</f>
        <v/>
      </c>
      <c r="L11" s="17" t="str">
        <f aca="false">IF(G11&gt;0,F11/G11,"")</f>
        <v/>
      </c>
      <c r="M11" s="18" t="str">
        <f aca="false">IF(F11&gt;0,G11/F11,"")</f>
        <v/>
      </c>
      <c r="N11" s="17" t="str">
        <f aca="false">IFERROR(INDEX(Custos_SKU!$Q$6:$Q$35,MATCH($C11,Custos_SKU!$A$6:$A$35,0)),"")</f>
        <v/>
      </c>
      <c r="O11" s="6" t="str">
        <f aca="false">IF(F11="","",IF(AND(F11&gt;0,G11=0),"Gasto sem venda",IF(OR(L11="",N11=""),"Sem teto/ACOS",IF(L11&lt;=N11,"Dentro do teto","ACIMA do teto"))))</f>
        <v/>
      </c>
      <c r="P11" s="16"/>
    </row>
    <row r="12" customFormat="false" ht="15" hidden="false" customHeight="false" outlineLevel="0" collapsed="false">
      <c r="A12" s="16"/>
      <c r="B12" s="16"/>
      <c r="C12" s="16"/>
      <c r="D12" s="14"/>
      <c r="E12" s="14"/>
      <c r="F12" s="11"/>
      <c r="G12" s="11"/>
      <c r="H12" s="14"/>
      <c r="I12" s="17" t="str">
        <f aca="false">IF(D12&gt;0,E12/D12,"")</f>
        <v/>
      </c>
      <c r="J12" s="12" t="str">
        <f aca="false">IF(E12&gt;0,F12/E12,"")</f>
        <v/>
      </c>
      <c r="K12" s="17" t="str">
        <f aca="false">IF(E12&gt;0,H12/E12,"")</f>
        <v/>
      </c>
      <c r="L12" s="17" t="str">
        <f aca="false">IF(G12&gt;0,F12/G12,"")</f>
        <v/>
      </c>
      <c r="M12" s="18" t="str">
        <f aca="false">IF(F12&gt;0,G12/F12,"")</f>
        <v/>
      </c>
      <c r="N12" s="17" t="str">
        <f aca="false">IFERROR(INDEX(Custos_SKU!$Q$6:$Q$35,MATCH($C12,Custos_SKU!$A$6:$A$35,0)),"")</f>
        <v/>
      </c>
      <c r="O12" s="6" t="str">
        <f aca="false">IF(F12="","",IF(AND(F12&gt;0,G12=0),"Gasto sem venda",IF(OR(L12="",N12=""),"Sem teto/ACOS",IF(L12&lt;=N12,"Dentro do teto","ACIMA do teto"))))</f>
        <v/>
      </c>
      <c r="P12" s="16"/>
    </row>
    <row r="13" customFormat="false" ht="15" hidden="false" customHeight="false" outlineLevel="0" collapsed="false">
      <c r="A13" s="16"/>
      <c r="B13" s="16"/>
      <c r="C13" s="16"/>
      <c r="D13" s="14"/>
      <c r="E13" s="14"/>
      <c r="F13" s="11"/>
      <c r="G13" s="11"/>
      <c r="H13" s="14"/>
      <c r="I13" s="17" t="str">
        <f aca="false">IF(D13&gt;0,E13/D13,"")</f>
        <v/>
      </c>
      <c r="J13" s="12" t="str">
        <f aca="false">IF(E13&gt;0,F13/E13,"")</f>
        <v/>
      </c>
      <c r="K13" s="17" t="str">
        <f aca="false">IF(E13&gt;0,H13/E13,"")</f>
        <v/>
      </c>
      <c r="L13" s="17" t="str">
        <f aca="false">IF(G13&gt;0,F13/G13,"")</f>
        <v/>
      </c>
      <c r="M13" s="18" t="str">
        <f aca="false">IF(F13&gt;0,G13/F13,"")</f>
        <v/>
      </c>
      <c r="N13" s="17" t="str">
        <f aca="false">IFERROR(INDEX(Custos_SKU!$Q$6:$Q$35,MATCH($C13,Custos_SKU!$A$6:$A$35,0)),"")</f>
        <v/>
      </c>
      <c r="O13" s="6" t="str">
        <f aca="false">IF(F13="","",IF(AND(F13&gt;0,G13=0),"Gasto sem venda",IF(OR(L13="",N13=""),"Sem teto/ACOS",IF(L13&lt;=N13,"Dentro do teto","ACIMA do teto"))))</f>
        <v/>
      </c>
      <c r="P13" s="16"/>
    </row>
    <row r="14" customFormat="false" ht="15" hidden="false" customHeight="false" outlineLevel="0" collapsed="false">
      <c r="A14" s="16"/>
      <c r="B14" s="16"/>
      <c r="C14" s="16"/>
      <c r="D14" s="14"/>
      <c r="E14" s="14"/>
      <c r="F14" s="11"/>
      <c r="G14" s="11"/>
      <c r="H14" s="14"/>
      <c r="I14" s="17" t="str">
        <f aca="false">IF(D14&gt;0,E14/D14,"")</f>
        <v/>
      </c>
      <c r="J14" s="12" t="str">
        <f aca="false">IF(E14&gt;0,F14/E14,"")</f>
        <v/>
      </c>
      <c r="K14" s="17" t="str">
        <f aca="false">IF(E14&gt;0,H14/E14,"")</f>
        <v/>
      </c>
      <c r="L14" s="17" t="str">
        <f aca="false">IF(G14&gt;0,F14/G14,"")</f>
        <v/>
      </c>
      <c r="M14" s="18" t="str">
        <f aca="false">IF(F14&gt;0,G14/F14,"")</f>
        <v/>
      </c>
      <c r="N14" s="17" t="str">
        <f aca="false">IFERROR(INDEX(Custos_SKU!$Q$6:$Q$35,MATCH($C14,Custos_SKU!$A$6:$A$35,0)),"")</f>
        <v/>
      </c>
      <c r="O14" s="6" t="str">
        <f aca="false">IF(F14="","",IF(AND(F14&gt;0,G14=0),"Gasto sem venda",IF(OR(L14="",N14=""),"Sem teto/ACOS",IF(L14&lt;=N14,"Dentro do teto","ACIMA do teto"))))</f>
        <v/>
      </c>
      <c r="P14" s="16"/>
    </row>
    <row r="15" customFormat="false" ht="15" hidden="false" customHeight="false" outlineLevel="0" collapsed="false">
      <c r="A15" s="16"/>
      <c r="B15" s="16"/>
      <c r="C15" s="16"/>
      <c r="D15" s="14"/>
      <c r="E15" s="14"/>
      <c r="F15" s="11"/>
      <c r="G15" s="11"/>
      <c r="H15" s="14"/>
      <c r="I15" s="17" t="str">
        <f aca="false">IF(D15&gt;0,E15/D15,"")</f>
        <v/>
      </c>
      <c r="J15" s="12" t="str">
        <f aca="false">IF(E15&gt;0,F15/E15,"")</f>
        <v/>
      </c>
      <c r="K15" s="17" t="str">
        <f aca="false">IF(E15&gt;0,H15/E15,"")</f>
        <v/>
      </c>
      <c r="L15" s="17" t="str">
        <f aca="false">IF(G15&gt;0,F15/G15,"")</f>
        <v/>
      </c>
      <c r="M15" s="18" t="str">
        <f aca="false">IF(F15&gt;0,G15/F15,"")</f>
        <v/>
      </c>
      <c r="N15" s="17" t="str">
        <f aca="false">IFERROR(INDEX(Custos_SKU!$Q$6:$Q$35,MATCH($C15,Custos_SKU!$A$6:$A$35,0)),"")</f>
        <v/>
      </c>
      <c r="O15" s="6" t="str">
        <f aca="false">IF(F15="","",IF(AND(F15&gt;0,G15=0),"Gasto sem venda",IF(OR(L15="",N15=""),"Sem teto/ACOS",IF(L15&lt;=N15,"Dentro do teto","ACIMA do teto"))))</f>
        <v/>
      </c>
      <c r="P15" s="16"/>
    </row>
    <row r="16" customFormat="false" ht="15" hidden="false" customHeight="false" outlineLevel="0" collapsed="false">
      <c r="A16" s="16"/>
      <c r="B16" s="16"/>
      <c r="C16" s="16"/>
      <c r="D16" s="14"/>
      <c r="E16" s="14"/>
      <c r="F16" s="11"/>
      <c r="G16" s="11"/>
      <c r="H16" s="14"/>
      <c r="I16" s="17" t="str">
        <f aca="false">IF(D16&gt;0,E16/D16,"")</f>
        <v/>
      </c>
      <c r="J16" s="12" t="str">
        <f aca="false">IF(E16&gt;0,F16/E16,"")</f>
        <v/>
      </c>
      <c r="K16" s="17" t="str">
        <f aca="false">IF(E16&gt;0,H16/E16,"")</f>
        <v/>
      </c>
      <c r="L16" s="17" t="str">
        <f aca="false">IF(G16&gt;0,F16/G16,"")</f>
        <v/>
      </c>
      <c r="M16" s="18" t="str">
        <f aca="false">IF(F16&gt;0,G16/F16,"")</f>
        <v/>
      </c>
      <c r="N16" s="17" t="str">
        <f aca="false">IFERROR(INDEX(Custos_SKU!$Q$6:$Q$35,MATCH($C16,Custos_SKU!$A$6:$A$35,0)),"")</f>
        <v/>
      </c>
      <c r="O16" s="6" t="str">
        <f aca="false">IF(F16="","",IF(AND(F16&gt;0,G16=0),"Gasto sem venda",IF(OR(L16="",N16=""),"Sem teto/ACOS",IF(L16&lt;=N16,"Dentro do teto","ACIMA do teto"))))</f>
        <v/>
      </c>
      <c r="P16" s="16"/>
    </row>
    <row r="17" customFormat="false" ht="15" hidden="false" customHeight="false" outlineLevel="0" collapsed="false">
      <c r="A17" s="16"/>
      <c r="B17" s="16"/>
      <c r="C17" s="16"/>
      <c r="D17" s="14"/>
      <c r="E17" s="14"/>
      <c r="F17" s="11"/>
      <c r="G17" s="11"/>
      <c r="H17" s="14"/>
      <c r="I17" s="17" t="str">
        <f aca="false">IF(D17&gt;0,E17/D17,"")</f>
        <v/>
      </c>
      <c r="J17" s="12" t="str">
        <f aca="false">IF(E17&gt;0,F17/E17,"")</f>
        <v/>
      </c>
      <c r="K17" s="17" t="str">
        <f aca="false">IF(E17&gt;0,H17/E17,"")</f>
        <v/>
      </c>
      <c r="L17" s="17" t="str">
        <f aca="false">IF(G17&gt;0,F17/G17,"")</f>
        <v/>
      </c>
      <c r="M17" s="18" t="str">
        <f aca="false">IF(F17&gt;0,G17/F17,"")</f>
        <v/>
      </c>
      <c r="N17" s="17" t="str">
        <f aca="false">IFERROR(INDEX(Custos_SKU!$Q$6:$Q$35,MATCH($C17,Custos_SKU!$A$6:$A$35,0)),"")</f>
        <v/>
      </c>
      <c r="O17" s="6" t="str">
        <f aca="false">IF(F17="","",IF(AND(F17&gt;0,G17=0),"Gasto sem venda",IF(OR(L17="",N17=""),"Sem teto/ACOS",IF(L17&lt;=N17,"Dentro do teto","ACIMA do teto"))))</f>
        <v/>
      </c>
      <c r="P17" s="16"/>
    </row>
    <row r="18" customFormat="false" ht="15" hidden="false" customHeight="false" outlineLevel="0" collapsed="false">
      <c r="A18" s="16"/>
      <c r="B18" s="16"/>
      <c r="C18" s="16"/>
      <c r="D18" s="14"/>
      <c r="E18" s="14"/>
      <c r="F18" s="11"/>
      <c r="G18" s="11"/>
      <c r="H18" s="14"/>
      <c r="I18" s="17" t="str">
        <f aca="false">IF(D18&gt;0,E18/D18,"")</f>
        <v/>
      </c>
      <c r="J18" s="12" t="str">
        <f aca="false">IF(E18&gt;0,F18/E18,"")</f>
        <v/>
      </c>
      <c r="K18" s="17" t="str">
        <f aca="false">IF(E18&gt;0,H18/E18,"")</f>
        <v/>
      </c>
      <c r="L18" s="17" t="str">
        <f aca="false">IF(G18&gt;0,F18/G18,"")</f>
        <v/>
      </c>
      <c r="M18" s="18" t="str">
        <f aca="false">IF(F18&gt;0,G18/F18,"")</f>
        <v/>
      </c>
      <c r="N18" s="17" t="str">
        <f aca="false">IFERROR(INDEX(Custos_SKU!$Q$6:$Q$35,MATCH($C18,Custos_SKU!$A$6:$A$35,0)),"")</f>
        <v/>
      </c>
      <c r="O18" s="6" t="str">
        <f aca="false">IF(F18="","",IF(AND(F18&gt;0,G18=0),"Gasto sem venda",IF(OR(L18="",N18=""),"Sem teto/ACOS",IF(L18&lt;=N18,"Dentro do teto","ACIMA do teto"))))</f>
        <v/>
      </c>
      <c r="P18" s="16"/>
    </row>
    <row r="19" customFormat="false" ht="15" hidden="false" customHeight="false" outlineLevel="0" collapsed="false">
      <c r="A19" s="16"/>
      <c r="B19" s="16"/>
      <c r="C19" s="16"/>
      <c r="D19" s="14"/>
      <c r="E19" s="14"/>
      <c r="F19" s="11"/>
      <c r="G19" s="11"/>
      <c r="H19" s="14"/>
      <c r="I19" s="17" t="str">
        <f aca="false">IF(D19&gt;0,E19/D19,"")</f>
        <v/>
      </c>
      <c r="J19" s="12" t="str">
        <f aca="false">IF(E19&gt;0,F19/E19,"")</f>
        <v/>
      </c>
      <c r="K19" s="17" t="str">
        <f aca="false">IF(E19&gt;0,H19/E19,"")</f>
        <v/>
      </c>
      <c r="L19" s="17" t="str">
        <f aca="false">IF(G19&gt;0,F19/G19,"")</f>
        <v/>
      </c>
      <c r="M19" s="18" t="str">
        <f aca="false">IF(F19&gt;0,G19/F19,"")</f>
        <v/>
      </c>
      <c r="N19" s="17" t="str">
        <f aca="false">IFERROR(INDEX(Custos_SKU!$Q$6:$Q$35,MATCH($C19,Custos_SKU!$A$6:$A$35,0)),"")</f>
        <v/>
      </c>
      <c r="O19" s="6" t="str">
        <f aca="false">IF(F19="","",IF(AND(F19&gt;0,G19=0),"Gasto sem venda",IF(OR(L19="",N19=""),"Sem teto/ACOS",IF(L19&lt;=N19,"Dentro do teto","ACIMA do teto"))))</f>
        <v/>
      </c>
      <c r="P19" s="16"/>
    </row>
    <row r="20" customFormat="false" ht="15" hidden="false" customHeight="false" outlineLevel="0" collapsed="false">
      <c r="A20" s="16"/>
      <c r="B20" s="16"/>
      <c r="C20" s="16"/>
      <c r="D20" s="14"/>
      <c r="E20" s="14"/>
      <c r="F20" s="11"/>
      <c r="G20" s="11"/>
      <c r="H20" s="14"/>
      <c r="I20" s="17" t="str">
        <f aca="false">IF(D20&gt;0,E20/D20,"")</f>
        <v/>
      </c>
      <c r="J20" s="12" t="str">
        <f aca="false">IF(E20&gt;0,F20/E20,"")</f>
        <v/>
      </c>
      <c r="K20" s="17" t="str">
        <f aca="false">IF(E20&gt;0,H20/E20,"")</f>
        <v/>
      </c>
      <c r="L20" s="17" t="str">
        <f aca="false">IF(G20&gt;0,F20/G20,"")</f>
        <v/>
      </c>
      <c r="M20" s="18" t="str">
        <f aca="false">IF(F20&gt;0,G20/F20,"")</f>
        <v/>
      </c>
      <c r="N20" s="17" t="str">
        <f aca="false">IFERROR(INDEX(Custos_SKU!$Q$6:$Q$35,MATCH($C20,Custos_SKU!$A$6:$A$35,0)),"")</f>
        <v/>
      </c>
      <c r="O20" s="6" t="str">
        <f aca="false">IF(F20="","",IF(AND(F20&gt;0,G20=0),"Gasto sem venda",IF(OR(L20="",N20=""),"Sem teto/ACOS",IF(L20&lt;=N20,"Dentro do teto","ACIMA do teto"))))</f>
        <v/>
      </c>
      <c r="P20" s="16"/>
    </row>
    <row r="21" customFormat="false" ht="15" hidden="false" customHeight="false" outlineLevel="0" collapsed="false">
      <c r="A21" s="16"/>
      <c r="B21" s="16"/>
      <c r="C21" s="16"/>
      <c r="D21" s="14"/>
      <c r="E21" s="14"/>
      <c r="F21" s="11"/>
      <c r="G21" s="11"/>
      <c r="H21" s="14"/>
      <c r="I21" s="17" t="str">
        <f aca="false">IF(D21&gt;0,E21/D21,"")</f>
        <v/>
      </c>
      <c r="J21" s="12" t="str">
        <f aca="false">IF(E21&gt;0,F21/E21,"")</f>
        <v/>
      </c>
      <c r="K21" s="17" t="str">
        <f aca="false">IF(E21&gt;0,H21/E21,"")</f>
        <v/>
      </c>
      <c r="L21" s="17" t="str">
        <f aca="false">IF(G21&gt;0,F21/G21,"")</f>
        <v/>
      </c>
      <c r="M21" s="18" t="str">
        <f aca="false">IF(F21&gt;0,G21/F21,"")</f>
        <v/>
      </c>
      <c r="N21" s="17" t="str">
        <f aca="false">IFERROR(INDEX(Custos_SKU!$Q$6:$Q$35,MATCH($C21,Custos_SKU!$A$6:$A$35,0)),"")</f>
        <v/>
      </c>
      <c r="O21" s="6" t="str">
        <f aca="false">IF(F21="","",IF(AND(F21&gt;0,G21=0),"Gasto sem venda",IF(OR(L21="",N21=""),"Sem teto/ACOS",IF(L21&lt;=N21,"Dentro do teto","ACIMA do teto"))))</f>
        <v/>
      </c>
      <c r="P21" s="16"/>
    </row>
    <row r="22" customFormat="false" ht="15" hidden="false" customHeight="false" outlineLevel="0" collapsed="false">
      <c r="A22" s="16"/>
      <c r="B22" s="16"/>
      <c r="C22" s="16"/>
      <c r="D22" s="14"/>
      <c r="E22" s="14"/>
      <c r="F22" s="11"/>
      <c r="G22" s="11"/>
      <c r="H22" s="14"/>
      <c r="I22" s="17" t="str">
        <f aca="false">IF(D22&gt;0,E22/D22,"")</f>
        <v/>
      </c>
      <c r="J22" s="12" t="str">
        <f aca="false">IF(E22&gt;0,F22/E22,"")</f>
        <v/>
      </c>
      <c r="K22" s="17" t="str">
        <f aca="false">IF(E22&gt;0,H22/E22,"")</f>
        <v/>
      </c>
      <c r="L22" s="17" t="str">
        <f aca="false">IF(G22&gt;0,F22/G22,"")</f>
        <v/>
      </c>
      <c r="M22" s="18" t="str">
        <f aca="false">IF(F22&gt;0,G22/F22,"")</f>
        <v/>
      </c>
      <c r="N22" s="17" t="str">
        <f aca="false">IFERROR(INDEX(Custos_SKU!$Q$6:$Q$35,MATCH($C22,Custos_SKU!$A$6:$A$35,0)),"")</f>
        <v/>
      </c>
      <c r="O22" s="6" t="str">
        <f aca="false">IF(F22="","",IF(AND(F22&gt;0,G22=0),"Gasto sem venda",IF(OR(L22="",N22=""),"Sem teto/ACOS",IF(L22&lt;=N22,"Dentro do teto","ACIMA do teto"))))</f>
        <v/>
      </c>
      <c r="P22" s="16"/>
    </row>
    <row r="23" customFormat="false" ht="15" hidden="false" customHeight="false" outlineLevel="0" collapsed="false">
      <c r="A23" s="16"/>
      <c r="B23" s="16"/>
      <c r="C23" s="16"/>
      <c r="D23" s="14"/>
      <c r="E23" s="14"/>
      <c r="F23" s="11"/>
      <c r="G23" s="11"/>
      <c r="H23" s="14"/>
      <c r="I23" s="17" t="str">
        <f aca="false">IF(D23&gt;0,E23/D23,"")</f>
        <v/>
      </c>
      <c r="J23" s="12" t="str">
        <f aca="false">IF(E23&gt;0,F23/E23,"")</f>
        <v/>
      </c>
      <c r="K23" s="17" t="str">
        <f aca="false">IF(E23&gt;0,H23/E23,"")</f>
        <v/>
      </c>
      <c r="L23" s="17" t="str">
        <f aca="false">IF(G23&gt;0,F23/G23,"")</f>
        <v/>
      </c>
      <c r="M23" s="18" t="str">
        <f aca="false">IF(F23&gt;0,G23/F23,"")</f>
        <v/>
      </c>
      <c r="N23" s="17" t="str">
        <f aca="false">IFERROR(INDEX(Custos_SKU!$Q$6:$Q$35,MATCH($C23,Custos_SKU!$A$6:$A$35,0)),"")</f>
        <v/>
      </c>
      <c r="O23" s="6" t="str">
        <f aca="false">IF(F23="","",IF(AND(F23&gt;0,G23=0),"Gasto sem venda",IF(OR(L23="",N23=""),"Sem teto/ACOS",IF(L23&lt;=N23,"Dentro do teto","ACIMA do teto"))))</f>
        <v/>
      </c>
      <c r="P23" s="16"/>
    </row>
    <row r="24" customFormat="false" ht="15" hidden="false" customHeight="false" outlineLevel="0" collapsed="false">
      <c r="A24" s="16"/>
      <c r="B24" s="16"/>
      <c r="C24" s="16"/>
      <c r="D24" s="14"/>
      <c r="E24" s="14"/>
      <c r="F24" s="11"/>
      <c r="G24" s="11"/>
      <c r="H24" s="14"/>
      <c r="I24" s="17" t="str">
        <f aca="false">IF(D24&gt;0,E24/D24,"")</f>
        <v/>
      </c>
      <c r="J24" s="12" t="str">
        <f aca="false">IF(E24&gt;0,F24/E24,"")</f>
        <v/>
      </c>
      <c r="K24" s="17" t="str">
        <f aca="false">IF(E24&gt;0,H24/E24,"")</f>
        <v/>
      </c>
      <c r="L24" s="17" t="str">
        <f aca="false">IF(G24&gt;0,F24/G24,"")</f>
        <v/>
      </c>
      <c r="M24" s="18" t="str">
        <f aca="false">IF(F24&gt;0,G24/F24,"")</f>
        <v/>
      </c>
      <c r="N24" s="17" t="str">
        <f aca="false">IFERROR(INDEX(Custos_SKU!$Q$6:$Q$35,MATCH($C24,Custos_SKU!$A$6:$A$35,0)),"")</f>
        <v/>
      </c>
      <c r="O24" s="6" t="str">
        <f aca="false">IF(F24="","",IF(AND(F24&gt;0,G24=0),"Gasto sem venda",IF(OR(L24="",N24=""),"Sem teto/ACOS",IF(L24&lt;=N24,"Dentro do teto","ACIMA do teto"))))</f>
        <v/>
      </c>
      <c r="P24" s="16"/>
    </row>
    <row r="25" customFormat="false" ht="15" hidden="false" customHeight="false" outlineLevel="0" collapsed="false">
      <c r="A25" s="16"/>
      <c r="B25" s="16"/>
      <c r="C25" s="16"/>
      <c r="D25" s="14"/>
      <c r="E25" s="14"/>
      <c r="F25" s="11"/>
      <c r="G25" s="11"/>
      <c r="H25" s="14"/>
      <c r="I25" s="17" t="str">
        <f aca="false">IF(D25&gt;0,E25/D25,"")</f>
        <v/>
      </c>
      <c r="J25" s="12" t="str">
        <f aca="false">IF(E25&gt;0,F25/E25,"")</f>
        <v/>
      </c>
      <c r="K25" s="17" t="str">
        <f aca="false">IF(E25&gt;0,H25/E25,"")</f>
        <v/>
      </c>
      <c r="L25" s="17" t="str">
        <f aca="false">IF(G25&gt;0,F25/G25,"")</f>
        <v/>
      </c>
      <c r="M25" s="18" t="str">
        <f aca="false">IF(F25&gt;0,G25/F25,"")</f>
        <v/>
      </c>
      <c r="N25" s="17" t="str">
        <f aca="false">IFERROR(INDEX(Custos_SKU!$Q$6:$Q$35,MATCH($C25,Custos_SKU!$A$6:$A$35,0)),"")</f>
        <v/>
      </c>
      <c r="O25" s="6" t="str">
        <f aca="false">IF(F25="","",IF(AND(F25&gt;0,G25=0),"Gasto sem venda",IF(OR(L25="",N25=""),"Sem teto/ACOS",IF(L25&lt;=N25,"Dentro do teto","ACIMA do teto"))))</f>
        <v/>
      </c>
      <c r="P25" s="16"/>
    </row>
    <row r="26" customFormat="false" ht="15" hidden="false" customHeight="false" outlineLevel="0" collapsed="false">
      <c r="A26" s="16"/>
      <c r="B26" s="16"/>
      <c r="C26" s="16"/>
      <c r="D26" s="14"/>
      <c r="E26" s="14"/>
      <c r="F26" s="11"/>
      <c r="G26" s="11"/>
      <c r="H26" s="14"/>
      <c r="I26" s="17" t="str">
        <f aca="false">IF(D26&gt;0,E26/D26,"")</f>
        <v/>
      </c>
      <c r="J26" s="12" t="str">
        <f aca="false">IF(E26&gt;0,F26/E26,"")</f>
        <v/>
      </c>
      <c r="K26" s="17" t="str">
        <f aca="false">IF(E26&gt;0,H26/E26,"")</f>
        <v/>
      </c>
      <c r="L26" s="17" t="str">
        <f aca="false">IF(G26&gt;0,F26/G26,"")</f>
        <v/>
      </c>
      <c r="M26" s="18" t="str">
        <f aca="false">IF(F26&gt;0,G26/F26,"")</f>
        <v/>
      </c>
      <c r="N26" s="17" t="str">
        <f aca="false">IFERROR(INDEX(Custos_SKU!$Q$6:$Q$35,MATCH($C26,Custos_SKU!$A$6:$A$35,0)),"")</f>
        <v/>
      </c>
      <c r="O26" s="6" t="str">
        <f aca="false">IF(F26="","",IF(AND(F26&gt;0,G26=0),"Gasto sem venda",IF(OR(L26="",N26=""),"Sem teto/ACOS",IF(L26&lt;=N26,"Dentro do teto","ACIMA do teto"))))</f>
        <v/>
      </c>
      <c r="P26" s="16"/>
    </row>
    <row r="27" customFormat="false" ht="15" hidden="false" customHeight="false" outlineLevel="0" collapsed="false">
      <c r="A27" s="16"/>
      <c r="B27" s="16"/>
      <c r="C27" s="16"/>
      <c r="D27" s="14"/>
      <c r="E27" s="14"/>
      <c r="F27" s="11"/>
      <c r="G27" s="11"/>
      <c r="H27" s="14"/>
      <c r="I27" s="17" t="str">
        <f aca="false">IF(D27&gt;0,E27/D27,"")</f>
        <v/>
      </c>
      <c r="J27" s="12" t="str">
        <f aca="false">IF(E27&gt;0,F27/E27,"")</f>
        <v/>
      </c>
      <c r="K27" s="17" t="str">
        <f aca="false">IF(E27&gt;0,H27/E27,"")</f>
        <v/>
      </c>
      <c r="L27" s="17" t="str">
        <f aca="false">IF(G27&gt;0,F27/G27,"")</f>
        <v/>
      </c>
      <c r="M27" s="18" t="str">
        <f aca="false">IF(F27&gt;0,G27/F27,"")</f>
        <v/>
      </c>
      <c r="N27" s="17" t="str">
        <f aca="false">IFERROR(INDEX(Custos_SKU!$Q$6:$Q$35,MATCH($C27,Custos_SKU!$A$6:$A$35,0)),"")</f>
        <v/>
      </c>
      <c r="O27" s="6" t="str">
        <f aca="false">IF(F27="","",IF(AND(F27&gt;0,G27=0),"Gasto sem venda",IF(OR(L27="",N27=""),"Sem teto/ACOS",IF(L27&lt;=N27,"Dentro do teto","ACIMA do teto"))))</f>
        <v/>
      </c>
      <c r="P27" s="16"/>
    </row>
    <row r="28" customFormat="false" ht="15" hidden="false" customHeight="false" outlineLevel="0" collapsed="false">
      <c r="A28" s="16"/>
      <c r="B28" s="16"/>
      <c r="C28" s="16"/>
      <c r="D28" s="14"/>
      <c r="E28" s="14"/>
      <c r="F28" s="11"/>
      <c r="G28" s="11"/>
      <c r="H28" s="14"/>
      <c r="I28" s="17" t="str">
        <f aca="false">IF(D28&gt;0,E28/D28,"")</f>
        <v/>
      </c>
      <c r="J28" s="12" t="str">
        <f aca="false">IF(E28&gt;0,F28/E28,"")</f>
        <v/>
      </c>
      <c r="K28" s="17" t="str">
        <f aca="false">IF(E28&gt;0,H28/E28,"")</f>
        <v/>
      </c>
      <c r="L28" s="17" t="str">
        <f aca="false">IF(G28&gt;0,F28/G28,"")</f>
        <v/>
      </c>
      <c r="M28" s="18" t="str">
        <f aca="false">IF(F28&gt;0,G28/F28,"")</f>
        <v/>
      </c>
      <c r="N28" s="17" t="str">
        <f aca="false">IFERROR(INDEX(Custos_SKU!$Q$6:$Q$35,MATCH($C28,Custos_SKU!$A$6:$A$35,0)),"")</f>
        <v/>
      </c>
      <c r="O28" s="6" t="str">
        <f aca="false">IF(F28="","",IF(AND(F28&gt;0,G28=0),"Gasto sem venda",IF(OR(L28="",N28=""),"Sem teto/ACOS",IF(L28&lt;=N28,"Dentro do teto","ACIMA do teto"))))</f>
        <v/>
      </c>
      <c r="P28" s="16"/>
    </row>
    <row r="29" customFormat="false" ht="15" hidden="false" customHeight="false" outlineLevel="0" collapsed="false">
      <c r="A29" s="16"/>
      <c r="B29" s="16"/>
      <c r="C29" s="16"/>
      <c r="D29" s="14"/>
      <c r="E29" s="14"/>
      <c r="F29" s="11"/>
      <c r="G29" s="11"/>
      <c r="H29" s="14"/>
      <c r="I29" s="17" t="str">
        <f aca="false">IF(D29&gt;0,E29/D29,"")</f>
        <v/>
      </c>
      <c r="J29" s="12" t="str">
        <f aca="false">IF(E29&gt;0,F29/E29,"")</f>
        <v/>
      </c>
      <c r="K29" s="17" t="str">
        <f aca="false">IF(E29&gt;0,H29/E29,"")</f>
        <v/>
      </c>
      <c r="L29" s="17" t="str">
        <f aca="false">IF(G29&gt;0,F29/G29,"")</f>
        <v/>
      </c>
      <c r="M29" s="18" t="str">
        <f aca="false">IF(F29&gt;0,G29/F29,"")</f>
        <v/>
      </c>
      <c r="N29" s="17" t="str">
        <f aca="false">IFERROR(INDEX(Custos_SKU!$Q$6:$Q$35,MATCH($C29,Custos_SKU!$A$6:$A$35,0)),"")</f>
        <v/>
      </c>
      <c r="O29" s="6" t="str">
        <f aca="false">IF(F29="","",IF(AND(F29&gt;0,G29=0),"Gasto sem venda",IF(OR(L29="",N29=""),"Sem teto/ACOS",IF(L29&lt;=N29,"Dentro do teto","ACIMA do teto"))))</f>
        <v/>
      </c>
      <c r="P29" s="16"/>
    </row>
    <row r="30" customFormat="false" ht="15" hidden="false" customHeight="false" outlineLevel="0" collapsed="false">
      <c r="A30" s="16"/>
      <c r="B30" s="16"/>
      <c r="C30" s="16"/>
      <c r="D30" s="14"/>
      <c r="E30" s="14"/>
      <c r="F30" s="11"/>
      <c r="G30" s="11"/>
      <c r="H30" s="14"/>
      <c r="I30" s="17" t="str">
        <f aca="false">IF(D30&gt;0,E30/D30,"")</f>
        <v/>
      </c>
      <c r="J30" s="12" t="str">
        <f aca="false">IF(E30&gt;0,F30/E30,"")</f>
        <v/>
      </c>
      <c r="K30" s="17" t="str">
        <f aca="false">IF(E30&gt;0,H30/E30,"")</f>
        <v/>
      </c>
      <c r="L30" s="17" t="str">
        <f aca="false">IF(G30&gt;0,F30/G30,"")</f>
        <v/>
      </c>
      <c r="M30" s="18" t="str">
        <f aca="false">IF(F30&gt;0,G30/F30,"")</f>
        <v/>
      </c>
      <c r="N30" s="17" t="str">
        <f aca="false">IFERROR(INDEX(Custos_SKU!$Q$6:$Q$35,MATCH($C30,Custos_SKU!$A$6:$A$35,0)),"")</f>
        <v/>
      </c>
      <c r="O30" s="6" t="str">
        <f aca="false">IF(F30="","",IF(AND(F30&gt;0,G30=0),"Gasto sem venda",IF(OR(L30="",N30=""),"Sem teto/ACOS",IF(L30&lt;=N30,"Dentro do teto","ACIMA do teto"))))</f>
        <v/>
      </c>
      <c r="P30" s="16"/>
    </row>
    <row r="31" customFormat="false" ht="15" hidden="false" customHeight="false" outlineLevel="0" collapsed="false">
      <c r="A31" s="16"/>
      <c r="B31" s="16"/>
      <c r="C31" s="16"/>
      <c r="D31" s="14"/>
      <c r="E31" s="14"/>
      <c r="F31" s="11"/>
      <c r="G31" s="11"/>
      <c r="H31" s="14"/>
      <c r="I31" s="17" t="str">
        <f aca="false">IF(D31&gt;0,E31/D31,"")</f>
        <v/>
      </c>
      <c r="J31" s="12" t="str">
        <f aca="false">IF(E31&gt;0,F31/E31,"")</f>
        <v/>
      </c>
      <c r="K31" s="17" t="str">
        <f aca="false">IF(E31&gt;0,H31/E31,"")</f>
        <v/>
      </c>
      <c r="L31" s="17" t="str">
        <f aca="false">IF(G31&gt;0,F31/G31,"")</f>
        <v/>
      </c>
      <c r="M31" s="18" t="str">
        <f aca="false">IF(F31&gt;0,G31/F31,"")</f>
        <v/>
      </c>
      <c r="N31" s="17" t="str">
        <f aca="false">IFERROR(INDEX(Custos_SKU!$Q$6:$Q$35,MATCH($C31,Custos_SKU!$A$6:$A$35,0)),"")</f>
        <v/>
      </c>
      <c r="O31" s="6" t="str">
        <f aca="false">IF(F31="","",IF(AND(F31&gt;0,G31=0),"Gasto sem venda",IF(OR(L31="",N31=""),"Sem teto/ACOS",IF(L31&lt;=N31,"Dentro do teto","ACIMA do teto"))))</f>
        <v/>
      </c>
      <c r="P31" s="16"/>
    </row>
    <row r="32" customFormat="false" ht="15" hidden="false" customHeight="false" outlineLevel="0" collapsed="false">
      <c r="A32" s="16"/>
      <c r="B32" s="16"/>
      <c r="C32" s="16"/>
      <c r="D32" s="14"/>
      <c r="E32" s="14"/>
      <c r="F32" s="11"/>
      <c r="G32" s="11"/>
      <c r="H32" s="14"/>
      <c r="I32" s="17" t="str">
        <f aca="false">IF(D32&gt;0,E32/D32,"")</f>
        <v/>
      </c>
      <c r="J32" s="12" t="str">
        <f aca="false">IF(E32&gt;0,F32/E32,"")</f>
        <v/>
      </c>
      <c r="K32" s="17" t="str">
        <f aca="false">IF(E32&gt;0,H32/E32,"")</f>
        <v/>
      </c>
      <c r="L32" s="17" t="str">
        <f aca="false">IF(G32&gt;0,F32/G32,"")</f>
        <v/>
      </c>
      <c r="M32" s="18" t="str">
        <f aca="false">IF(F32&gt;0,G32/F32,"")</f>
        <v/>
      </c>
      <c r="N32" s="17" t="str">
        <f aca="false">IFERROR(INDEX(Custos_SKU!$Q$6:$Q$35,MATCH($C32,Custos_SKU!$A$6:$A$35,0)),"")</f>
        <v/>
      </c>
      <c r="O32" s="6" t="str">
        <f aca="false">IF(F32="","",IF(AND(F32&gt;0,G32=0),"Gasto sem venda",IF(OR(L32="",N32=""),"Sem teto/ACOS",IF(L32&lt;=N32,"Dentro do teto","ACIMA do teto"))))</f>
        <v/>
      </c>
      <c r="P32" s="16"/>
    </row>
    <row r="33" customFormat="false" ht="15" hidden="false" customHeight="false" outlineLevel="0" collapsed="false">
      <c r="A33" s="16"/>
      <c r="B33" s="16"/>
      <c r="C33" s="16"/>
      <c r="D33" s="14"/>
      <c r="E33" s="14"/>
      <c r="F33" s="11"/>
      <c r="G33" s="11"/>
      <c r="H33" s="14"/>
      <c r="I33" s="17" t="str">
        <f aca="false">IF(D33&gt;0,E33/D33,"")</f>
        <v/>
      </c>
      <c r="J33" s="12" t="str">
        <f aca="false">IF(E33&gt;0,F33/E33,"")</f>
        <v/>
      </c>
      <c r="K33" s="17" t="str">
        <f aca="false">IF(E33&gt;0,H33/E33,"")</f>
        <v/>
      </c>
      <c r="L33" s="17" t="str">
        <f aca="false">IF(G33&gt;0,F33/G33,"")</f>
        <v/>
      </c>
      <c r="M33" s="18" t="str">
        <f aca="false">IF(F33&gt;0,G33/F33,"")</f>
        <v/>
      </c>
      <c r="N33" s="17" t="str">
        <f aca="false">IFERROR(INDEX(Custos_SKU!$Q$6:$Q$35,MATCH($C33,Custos_SKU!$A$6:$A$35,0)),"")</f>
        <v/>
      </c>
      <c r="O33" s="6" t="str">
        <f aca="false">IF(F33="","",IF(AND(F33&gt;0,G33=0),"Gasto sem venda",IF(OR(L33="",N33=""),"Sem teto/ACOS",IF(L33&lt;=N33,"Dentro do teto","ACIMA do teto"))))</f>
        <v/>
      </c>
      <c r="P33" s="16"/>
    </row>
    <row r="34" customFormat="false" ht="15" hidden="false" customHeight="false" outlineLevel="0" collapsed="false">
      <c r="A34" s="16"/>
      <c r="B34" s="16"/>
      <c r="C34" s="16"/>
      <c r="D34" s="14"/>
      <c r="E34" s="14"/>
      <c r="F34" s="11"/>
      <c r="G34" s="11"/>
      <c r="H34" s="14"/>
      <c r="I34" s="17" t="str">
        <f aca="false">IF(D34&gt;0,E34/D34,"")</f>
        <v/>
      </c>
      <c r="J34" s="12" t="str">
        <f aca="false">IF(E34&gt;0,F34/E34,"")</f>
        <v/>
      </c>
      <c r="K34" s="17" t="str">
        <f aca="false">IF(E34&gt;0,H34/E34,"")</f>
        <v/>
      </c>
      <c r="L34" s="17" t="str">
        <f aca="false">IF(G34&gt;0,F34/G34,"")</f>
        <v/>
      </c>
      <c r="M34" s="18" t="str">
        <f aca="false">IF(F34&gt;0,G34/F34,"")</f>
        <v/>
      </c>
      <c r="N34" s="17" t="str">
        <f aca="false">IFERROR(INDEX(Custos_SKU!$Q$6:$Q$35,MATCH($C34,Custos_SKU!$A$6:$A$35,0)),"")</f>
        <v/>
      </c>
      <c r="O34" s="6" t="str">
        <f aca="false">IF(F34="","",IF(AND(F34&gt;0,G34=0),"Gasto sem venda",IF(OR(L34="",N34=""),"Sem teto/ACOS",IF(L34&lt;=N34,"Dentro do teto","ACIMA do teto"))))</f>
        <v/>
      </c>
      <c r="P34" s="16"/>
    </row>
    <row r="35" customFormat="false" ht="15" hidden="false" customHeight="false" outlineLevel="0" collapsed="false">
      <c r="A35" s="16"/>
      <c r="B35" s="16"/>
      <c r="C35" s="16"/>
      <c r="D35" s="14"/>
      <c r="E35" s="14"/>
      <c r="F35" s="11"/>
      <c r="G35" s="11"/>
      <c r="H35" s="14"/>
      <c r="I35" s="17" t="str">
        <f aca="false">IF(D35&gt;0,E35/D35,"")</f>
        <v/>
      </c>
      <c r="J35" s="12" t="str">
        <f aca="false">IF(E35&gt;0,F35/E35,"")</f>
        <v/>
      </c>
      <c r="K35" s="17" t="str">
        <f aca="false">IF(E35&gt;0,H35/E35,"")</f>
        <v/>
      </c>
      <c r="L35" s="17" t="str">
        <f aca="false">IF(G35&gt;0,F35/G35,"")</f>
        <v/>
      </c>
      <c r="M35" s="18" t="str">
        <f aca="false">IF(F35&gt;0,G35/F35,"")</f>
        <v/>
      </c>
      <c r="N35" s="17" t="str">
        <f aca="false">IFERROR(INDEX(Custos_SKU!$Q$6:$Q$35,MATCH($C35,Custos_SKU!$A$6:$A$35,0)),"")</f>
        <v/>
      </c>
      <c r="O35" s="6" t="str">
        <f aca="false">IF(F35="","",IF(AND(F35&gt;0,G35=0),"Gasto sem venda",IF(OR(L35="",N35=""),"Sem teto/ACOS",IF(L35&lt;=N35,"Dentro do teto","ACIMA do teto"))))</f>
        <v/>
      </c>
      <c r="P35" s="16"/>
    </row>
    <row r="36" customFormat="false" ht="15" hidden="false" customHeight="false" outlineLevel="0" collapsed="false">
      <c r="A36" s="19" t="s">
        <v>111</v>
      </c>
      <c r="D36" s="20" t="n">
        <f aca="false">SUM(D6:D35)</f>
        <v>10000</v>
      </c>
      <c r="E36" s="20" t="n">
        <f aca="false">SUM(E6:E35)</f>
        <v>100</v>
      </c>
      <c r="F36" s="21" t="n">
        <f aca="false">SUM(F6:F35)</f>
        <v>20</v>
      </c>
      <c r="G36" s="21" t="n">
        <f aca="false">SUM(G6:G35)</f>
        <v>400</v>
      </c>
      <c r="H36" s="20" t="n">
        <f aca="false">SUM(H6:H35)</f>
        <v>4</v>
      </c>
      <c r="I36" s="22" t="n">
        <f aca="false">IF(D36&gt;0,E36/D36,"")</f>
        <v>0.01</v>
      </c>
      <c r="J36" s="21" t="n">
        <f aca="false">IF(E36&gt;0,F36/E36,"")</f>
        <v>0.2</v>
      </c>
      <c r="K36" s="22" t="n">
        <f aca="false">IF(E36&gt;0,H36/E36,"")</f>
        <v>0.04</v>
      </c>
      <c r="L36" s="22" t="n">
        <f aca="false">IF(G36&gt;0,F36/G36,"")</f>
        <v>0.05</v>
      </c>
      <c r="M36" s="23" t="n">
        <f aca="false">IF(F36&gt;0,G36/F36,"")</f>
        <v>20</v>
      </c>
    </row>
  </sheetData>
  <conditionalFormatting sqref="O6:O35">
    <cfRule type="cellIs" priority="2" operator="equal" aboveAverage="0" equalAverage="0" bottom="0" percent="0" rank="0" text="" dxfId="1">
      <formula>"ACIMA do teto"</formula>
    </cfRule>
    <cfRule type="cellIs" priority="3" operator="equal" aboveAverage="0" equalAverage="0" bottom="0" percent="0" rank="0" text="" dxfId="1">
      <formula>"Gasto sem venda"</formula>
    </cfRule>
    <cfRule type="cellIs" priority="4" operator="equal" aboveAverage="0" equalAverage="0" bottom="0" percent="0" rank="0" text="" dxfId="0">
      <formula>"Dentro do teto"</formula>
    </cfRule>
  </conditionalFormatting>
  <dataValidations count="1">
    <dataValidation allowBlank="true" errorStyle="stop" operator="between" showDropDown="false" showErrorMessage="false" showInputMessage="false" sqref="P6:P35" type="list">
      <formula1>"ML,Shopee"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26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15" t="s">
        <v>113</v>
      </c>
    </row>
    <row r="5" customFormat="false" ht="48" hidden="false" customHeight="true" outlineLevel="0" collapsed="false">
      <c r="A5" s="5" t="s">
        <v>65</v>
      </c>
      <c r="B5" s="5" t="s">
        <v>114</v>
      </c>
      <c r="C5" s="5" t="s">
        <v>115</v>
      </c>
      <c r="D5" s="5" t="s">
        <v>116</v>
      </c>
      <c r="E5" s="5" t="s">
        <v>117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125</v>
      </c>
      <c r="N5" s="5" t="s">
        <v>85</v>
      </c>
      <c r="O5" s="5" t="s">
        <v>126</v>
      </c>
    </row>
    <row r="6" customFormat="false" ht="15" hidden="false" customHeight="false" outlineLevel="0" collapsed="false">
      <c r="A6" s="16" t="s">
        <v>86</v>
      </c>
      <c r="B6" s="14" t="n">
        <v>30</v>
      </c>
      <c r="C6" s="14" t="n">
        <v>10</v>
      </c>
      <c r="D6" s="14" t="n">
        <v>10</v>
      </c>
      <c r="E6" s="14" t="n">
        <v>15</v>
      </c>
      <c r="F6" s="14" t="n">
        <v>15</v>
      </c>
      <c r="G6" s="18" t="n">
        <f aca="false">IF(A6="","",(E6+F6)/30)</f>
        <v>1</v>
      </c>
      <c r="H6" s="18" t="n">
        <f aca="false">IF(A6="","",D6/30)</f>
        <v>0.333333333333333</v>
      </c>
      <c r="I6" s="24" t="n">
        <f aca="false">IF(A6="","",IF(G6&gt;0,B6/G6,""))</f>
        <v>30</v>
      </c>
      <c r="J6" s="24" t="n">
        <f aca="false">IF(A6="","",IF(H6&gt;0,C6/H6,""))</f>
        <v>30</v>
      </c>
      <c r="K6" s="24" t="n">
        <f aca="false">IF(A6="","",G6*(Parametros!$B$17+Parametros!$B$19))</f>
        <v>35</v>
      </c>
      <c r="L6" s="11" t="n">
        <v>40</v>
      </c>
      <c r="M6" s="12" t="n">
        <f aca="false">IF(A6="","",(G6+H6)*30*L6)</f>
        <v>1600</v>
      </c>
      <c r="N6" s="6" t="str">
        <f aca="false">IF(A6="","",IF(OR(AND(G6&gt;0,B6&lt;=0),AND(H6&gt;0,C6&lt;=0)),"RUPTURA",IF(OR(AND(G6&gt;0,B6&lt;=K6),AND(H6&gt;0,C6&lt;=H6*(Parametros!$B$17+Parametros!$B$19))),"REPOR (abaixo do ponto)",IF(G6+H6=0,"Sem giro: revisar",IF(OR(AND(G6&gt;0,I6&gt;120),AND(H6&gt;0,J6&gt;120)),"Excesso (&gt;120 dias)","OK")))))</f>
        <v>REPOR (abaixo do ponto)</v>
      </c>
      <c r="O6" s="25"/>
    </row>
    <row r="7" customFormat="false" ht="15" hidden="false" customHeight="false" outlineLevel="0" collapsed="false">
      <c r="A7" s="16"/>
      <c r="B7" s="14"/>
      <c r="C7" s="14"/>
      <c r="D7" s="14"/>
      <c r="E7" s="14"/>
      <c r="F7" s="14"/>
      <c r="G7" s="18" t="str">
        <f aca="false">IF(A7="","",(E7+F7)/30)</f>
        <v/>
      </c>
      <c r="H7" s="18" t="str">
        <f aca="false">IF(A7="","",D7/30)</f>
        <v/>
      </c>
      <c r="I7" s="24" t="str">
        <f aca="false">IF(A7="","",IF(G7&gt;0,B7/G7,""))</f>
        <v/>
      </c>
      <c r="J7" s="24" t="str">
        <f aca="false">IF(A7="","",IF(H7&gt;0,C7/H7,""))</f>
        <v/>
      </c>
      <c r="K7" s="24" t="str">
        <f aca="false">IF(A7="","",G7*(Parametros!$B$17+Parametros!$B$19))</f>
        <v/>
      </c>
      <c r="L7" s="11"/>
      <c r="M7" s="12" t="str">
        <f aca="false">IF(A7="","",(G7+H7)*30*L7)</f>
        <v/>
      </c>
      <c r="N7" s="6" t="str">
        <f aca="false">IF(A7="","",IF(OR(AND(G7&gt;0,B7&lt;=0),AND(H7&gt;0,C7&lt;=0)),"RUPTURA",IF(OR(AND(G7&gt;0,B7&lt;=K7),AND(H7&gt;0,C7&lt;=H7*(Parametros!$B$17+Parametros!$B$19))),"REPOR (abaixo do ponto)",IF(G7+H7=0,"Sem giro: revisar",IF(OR(AND(G7&gt;0,I7&gt;120),AND(H7&gt;0,J7&gt;120)),"Excesso (&gt;120 dias)","OK")))))</f>
        <v/>
      </c>
      <c r="O7" s="25"/>
    </row>
    <row r="8" customFormat="false" ht="15" hidden="false" customHeight="false" outlineLevel="0" collapsed="false">
      <c r="A8" s="16"/>
      <c r="B8" s="14"/>
      <c r="C8" s="14"/>
      <c r="D8" s="14"/>
      <c r="E8" s="14"/>
      <c r="F8" s="14"/>
      <c r="G8" s="18" t="str">
        <f aca="false">IF(A8="","",(E8+F8)/30)</f>
        <v/>
      </c>
      <c r="H8" s="18" t="str">
        <f aca="false">IF(A8="","",D8/30)</f>
        <v/>
      </c>
      <c r="I8" s="24" t="str">
        <f aca="false">IF(A8="","",IF(G8&gt;0,B8/G8,""))</f>
        <v/>
      </c>
      <c r="J8" s="24" t="str">
        <f aca="false">IF(A8="","",IF(H8&gt;0,C8/H8,""))</f>
        <v/>
      </c>
      <c r="K8" s="24" t="str">
        <f aca="false">IF(A8="","",G8*(Parametros!$B$17+Parametros!$B$19))</f>
        <v/>
      </c>
      <c r="L8" s="11"/>
      <c r="M8" s="12" t="str">
        <f aca="false">IF(A8="","",(G8+H8)*30*L8)</f>
        <v/>
      </c>
      <c r="N8" s="6" t="str">
        <f aca="false">IF(A8="","",IF(OR(AND(G8&gt;0,B8&lt;=0),AND(H8&gt;0,C8&lt;=0)),"RUPTURA",IF(OR(AND(G8&gt;0,B8&lt;=K8),AND(H8&gt;0,C8&lt;=H8*(Parametros!$B$17+Parametros!$B$19))),"REPOR (abaixo do ponto)",IF(G8+H8=0,"Sem giro: revisar",IF(OR(AND(G8&gt;0,I8&gt;120),AND(H8&gt;0,J8&gt;120)),"Excesso (&gt;120 dias)","OK")))))</f>
        <v/>
      </c>
      <c r="O8" s="25"/>
    </row>
    <row r="9" customFormat="false" ht="15" hidden="false" customHeight="false" outlineLevel="0" collapsed="false">
      <c r="A9" s="16"/>
      <c r="B9" s="14"/>
      <c r="C9" s="14"/>
      <c r="D9" s="14"/>
      <c r="E9" s="14"/>
      <c r="F9" s="14"/>
      <c r="G9" s="18" t="str">
        <f aca="false">IF(A9="","",(E9+F9)/30)</f>
        <v/>
      </c>
      <c r="H9" s="18" t="str">
        <f aca="false">IF(A9="","",D9/30)</f>
        <v/>
      </c>
      <c r="I9" s="24" t="str">
        <f aca="false">IF(A9="","",IF(G9&gt;0,B9/G9,""))</f>
        <v/>
      </c>
      <c r="J9" s="24" t="str">
        <f aca="false">IF(A9="","",IF(H9&gt;0,C9/H9,""))</f>
        <v/>
      </c>
      <c r="K9" s="24" t="str">
        <f aca="false">IF(A9="","",G9*(Parametros!$B$17+Parametros!$B$19))</f>
        <v/>
      </c>
      <c r="L9" s="11"/>
      <c r="M9" s="12" t="str">
        <f aca="false">IF(A9="","",(G9+H9)*30*L9)</f>
        <v/>
      </c>
      <c r="N9" s="6" t="str">
        <f aca="false">IF(A9="","",IF(OR(AND(G9&gt;0,B9&lt;=0),AND(H9&gt;0,C9&lt;=0)),"RUPTURA",IF(OR(AND(G9&gt;0,B9&lt;=K9),AND(H9&gt;0,C9&lt;=H9*(Parametros!$B$17+Parametros!$B$19))),"REPOR (abaixo do ponto)",IF(G9+H9=0,"Sem giro: revisar",IF(OR(AND(G9&gt;0,I9&gt;120),AND(H9&gt;0,J9&gt;120)),"Excesso (&gt;120 dias)","OK")))))</f>
        <v/>
      </c>
      <c r="O9" s="25"/>
    </row>
    <row r="10" customFormat="false" ht="15" hidden="false" customHeight="false" outlineLevel="0" collapsed="false">
      <c r="A10" s="16"/>
      <c r="B10" s="14"/>
      <c r="C10" s="14"/>
      <c r="D10" s="14"/>
      <c r="E10" s="14"/>
      <c r="F10" s="14"/>
      <c r="G10" s="18" t="str">
        <f aca="false">IF(A10="","",(E10+F10)/30)</f>
        <v/>
      </c>
      <c r="H10" s="18" t="str">
        <f aca="false">IF(A10="","",D10/30)</f>
        <v/>
      </c>
      <c r="I10" s="24" t="str">
        <f aca="false">IF(A10="","",IF(G10&gt;0,B10/G10,""))</f>
        <v/>
      </c>
      <c r="J10" s="24" t="str">
        <f aca="false">IF(A10="","",IF(H10&gt;0,C10/H10,""))</f>
        <v/>
      </c>
      <c r="K10" s="24" t="str">
        <f aca="false">IF(A10="","",G10*(Parametros!$B$17+Parametros!$B$19))</f>
        <v/>
      </c>
      <c r="L10" s="11"/>
      <c r="M10" s="12" t="str">
        <f aca="false">IF(A10="","",(G10+H10)*30*L10)</f>
        <v/>
      </c>
      <c r="N10" s="6" t="str">
        <f aca="false">IF(A10="","",IF(OR(AND(G10&gt;0,B10&lt;=0),AND(H10&gt;0,C10&lt;=0)),"RUPTURA",IF(OR(AND(G10&gt;0,B10&lt;=K10),AND(H10&gt;0,C10&lt;=H10*(Parametros!$B$17+Parametros!$B$19))),"REPOR (abaixo do ponto)",IF(G10+H10=0,"Sem giro: revisar",IF(OR(AND(G10&gt;0,I10&gt;120),AND(H10&gt;0,J10&gt;120)),"Excesso (&gt;120 dias)","OK")))))</f>
        <v/>
      </c>
      <c r="O10" s="25"/>
    </row>
    <row r="11" customFormat="false" ht="15" hidden="false" customHeight="false" outlineLevel="0" collapsed="false">
      <c r="A11" s="16"/>
      <c r="B11" s="14"/>
      <c r="C11" s="14"/>
      <c r="D11" s="14"/>
      <c r="E11" s="14"/>
      <c r="F11" s="14"/>
      <c r="G11" s="18" t="str">
        <f aca="false">IF(A11="","",(E11+F11)/30)</f>
        <v/>
      </c>
      <c r="H11" s="18" t="str">
        <f aca="false">IF(A11="","",D11/30)</f>
        <v/>
      </c>
      <c r="I11" s="24" t="str">
        <f aca="false">IF(A11="","",IF(G11&gt;0,B11/G11,""))</f>
        <v/>
      </c>
      <c r="J11" s="24" t="str">
        <f aca="false">IF(A11="","",IF(H11&gt;0,C11/H11,""))</f>
        <v/>
      </c>
      <c r="K11" s="24" t="str">
        <f aca="false">IF(A11="","",G11*(Parametros!$B$17+Parametros!$B$19))</f>
        <v/>
      </c>
      <c r="L11" s="11"/>
      <c r="M11" s="12" t="str">
        <f aca="false">IF(A11="","",(G11+H11)*30*L11)</f>
        <v/>
      </c>
      <c r="N11" s="6" t="str">
        <f aca="false">IF(A11="","",IF(OR(AND(G11&gt;0,B11&lt;=0),AND(H11&gt;0,C11&lt;=0)),"RUPTURA",IF(OR(AND(G11&gt;0,B11&lt;=K11),AND(H11&gt;0,C11&lt;=H11*(Parametros!$B$17+Parametros!$B$19))),"REPOR (abaixo do ponto)",IF(G11+H11=0,"Sem giro: revisar",IF(OR(AND(G11&gt;0,I11&gt;120),AND(H11&gt;0,J11&gt;120)),"Excesso (&gt;120 dias)","OK")))))</f>
        <v/>
      </c>
      <c r="O11" s="25"/>
    </row>
    <row r="12" customFormat="false" ht="15" hidden="false" customHeight="false" outlineLevel="0" collapsed="false">
      <c r="A12" s="16"/>
      <c r="B12" s="14"/>
      <c r="C12" s="14"/>
      <c r="D12" s="14"/>
      <c r="E12" s="14"/>
      <c r="F12" s="14"/>
      <c r="G12" s="18" t="str">
        <f aca="false">IF(A12="","",(E12+F12)/30)</f>
        <v/>
      </c>
      <c r="H12" s="18" t="str">
        <f aca="false">IF(A12="","",D12/30)</f>
        <v/>
      </c>
      <c r="I12" s="24" t="str">
        <f aca="false">IF(A12="","",IF(G12&gt;0,B12/G12,""))</f>
        <v/>
      </c>
      <c r="J12" s="24" t="str">
        <f aca="false">IF(A12="","",IF(H12&gt;0,C12/H12,""))</f>
        <v/>
      </c>
      <c r="K12" s="24" t="str">
        <f aca="false">IF(A12="","",G12*(Parametros!$B$17+Parametros!$B$19))</f>
        <v/>
      </c>
      <c r="L12" s="11"/>
      <c r="M12" s="12" t="str">
        <f aca="false">IF(A12="","",(G12+H12)*30*L12)</f>
        <v/>
      </c>
      <c r="N12" s="6" t="str">
        <f aca="false">IF(A12="","",IF(OR(AND(G12&gt;0,B12&lt;=0),AND(H12&gt;0,C12&lt;=0)),"RUPTURA",IF(OR(AND(G12&gt;0,B12&lt;=K12),AND(H12&gt;0,C12&lt;=H12*(Parametros!$B$17+Parametros!$B$19))),"REPOR (abaixo do ponto)",IF(G12+H12=0,"Sem giro: revisar",IF(OR(AND(G12&gt;0,I12&gt;120),AND(H12&gt;0,J12&gt;120)),"Excesso (&gt;120 dias)","OK")))))</f>
        <v/>
      </c>
      <c r="O12" s="25"/>
    </row>
    <row r="13" customFormat="false" ht="15" hidden="false" customHeight="false" outlineLevel="0" collapsed="false">
      <c r="A13" s="16"/>
      <c r="B13" s="14"/>
      <c r="C13" s="14"/>
      <c r="D13" s="14"/>
      <c r="E13" s="14"/>
      <c r="F13" s="14"/>
      <c r="G13" s="18" t="str">
        <f aca="false">IF(A13="","",(E13+F13)/30)</f>
        <v/>
      </c>
      <c r="H13" s="18" t="str">
        <f aca="false">IF(A13="","",D13/30)</f>
        <v/>
      </c>
      <c r="I13" s="24" t="str">
        <f aca="false">IF(A13="","",IF(G13&gt;0,B13/G13,""))</f>
        <v/>
      </c>
      <c r="J13" s="24" t="str">
        <f aca="false">IF(A13="","",IF(H13&gt;0,C13/H13,""))</f>
        <v/>
      </c>
      <c r="K13" s="24" t="str">
        <f aca="false">IF(A13="","",G13*(Parametros!$B$17+Parametros!$B$19))</f>
        <v/>
      </c>
      <c r="L13" s="11"/>
      <c r="M13" s="12" t="str">
        <f aca="false">IF(A13="","",(G13+H13)*30*L13)</f>
        <v/>
      </c>
      <c r="N13" s="6" t="str">
        <f aca="false">IF(A13="","",IF(OR(AND(G13&gt;0,B13&lt;=0),AND(H13&gt;0,C13&lt;=0)),"RUPTURA",IF(OR(AND(G13&gt;0,B13&lt;=K13),AND(H13&gt;0,C13&lt;=H13*(Parametros!$B$17+Parametros!$B$19))),"REPOR (abaixo do ponto)",IF(G13+H13=0,"Sem giro: revisar",IF(OR(AND(G13&gt;0,I13&gt;120),AND(H13&gt;0,J13&gt;120)),"Excesso (&gt;120 dias)","OK")))))</f>
        <v/>
      </c>
      <c r="O13" s="25"/>
    </row>
    <row r="14" customFormat="false" ht="15" hidden="false" customHeight="false" outlineLevel="0" collapsed="false">
      <c r="A14" s="16"/>
      <c r="B14" s="14"/>
      <c r="C14" s="14"/>
      <c r="D14" s="14"/>
      <c r="E14" s="14"/>
      <c r="F14" s="14"/>
      <c r="G14" s="18" t="str">
        <f aca="false">IF(A14="","",(E14+F14)/30)</f>
        <v/>
      </c>
      <c r="H14" s="18" t="str">
        <f aca="false">IF(A14="","",D14/30)</f>
        <v/>
      </c>
      <c r="I14" s="24" t="str">
        <f aca="false">IF(A14="","",IF(G14&gt;0,B14/G14,""))</f>
        <v/>
      </c>
      <c r="J14" s="24" t="str">
        <f aca="false">IF(A14="","",IF(H14&gt;0,C14/H14,""))</f>
        <v/>
      </c>
      <c r="K14" s="24" t="str">
        <f aca="false">IF(A14="","",G14*(Parametros!$B$17+Parametros!$B$19))</f>
        <v/>
      </c>
      <c r="L14" s="11"/>
      <c r="M14" s="12" t="str">
        <f aca="false">IF(A14="","",(G14+H14)*30*L14)</f>
        <v/>
      </c>
      <c r="N14" s="6" t="str">
        <f aca="false">IF(A14="","",IF(OR(AND(G14&gt;0,B14&lt;=0),AND(H14&gt;0,C14&lt;=0)),"RUPTURA",IF(OR(AND(G14&gt;0,B14&lt;=K14),AND(H14&gt;0,C14&lt;=H14*(Parametros!$B$17+Parametros!$B$19))),"REPOR (abaixo do ponto)",IF(G14+H14=0,"Sem giro: revisar",IF(OR(AND(G14&gt;0,I14&gt;120),AND(H14&gt;0,J14&gt;120)),"Excesso (&gt;120 dias)","OK")))))</f>
        <v/>
      </c>
      <c r="O14" s="25"/>
    </row>
    <row r="15" customFormat="false" ht="15" hidden="false" customHeight="false" outlineLevel="0" collapsed="false">
      <c r="A15" s="16"/>
      <c r="B15" s="14"/>
      <c r="C15" s="14"/>
      <c r="D15" s="14"/>
      <c r="E15" s="14"/>
      <c r="F15" s="14"/>
      <c r="G15" s="18" t="str">
        <f aca="false">IF(A15="","",(E15+F15)/30)</f>
        <v/>
      </c>
      <c r="H15" s="18" t="str">
        <f aca="false">IF(A15="","",D15/30)</f>
        <v/>
      </c>
      <c r="I15" s="24" t="str">
        <f aca="false">IF(A15="","",IF(G15&gt;0,B15/G15,""))</f>
        <v/>
      </c>
      <c r="J15" s="24" t="str">
        <f aca="false">IF(A15="","",IF(H15&gt;0,C15/H15,""))</f>
        <v/>
      </c>
      <c r="K15" s="24" t="str">
        <f aca="false">IF(A15="","",G15*(Parametros!$B$17+Parametros!$B$19))</f>
        <v/>
      </c>
      <c r="L15" s="11"/>
      <c r="M15" s="12" t="str">
        <f aca="false">IF(A15="","",(G15+H15)*30*L15)</f>
        <v/>
      </c>
      <c r="N15" s="6" t="str">
        <f aca="false">IF(A15="","",IF(OR(AND(G15&gt;0,B15&lt;=0),AND(H15&gt;0,C15&lt;=0)),"RUPTURA",IF(OR(AND(G15&gt;0,B15&lt;=K15),AND(H15&gt;0,C15&lt;=H15*(Parametros!$B$17+Parametros!$B$19))),"REPOR (abaixo do ponto)",IF(G15+H15=0,"Sem giro: revisar",IF(OR(AND(G15&gt;0,I15&gt;120),AND(H15&gt;0,J15&gt;120)),"Excesso (&gt;120 dias)","OK")))))</f>
        <v/>
      </c>
      <c r="O15" s="25"/>
    </row>
    <row r="16" customFormat="false" ht="15" hidden="false" customHeight="false" outlineLevel="0" collapsed="false">
      <c r="A16" s="16"/>
      <c r="B16" s="14"/>
      <c r="C16" s="14"/>
      <c r="D16" s="14"/>
      <c r="E16" s="14"/>
      <c r="F16" s="14"/>
      <c r="G16" s="18" t="str">
        <f aca="false">IF(A16="","",(E16+F16)/30)</f>
        <v/>
      </c>
      <c r="H16" s="18" t="str">
        <f aca="false">IF(A16="","",D16/30)</f>
        <v/>
      </c>
      <c r="I16" s="24" t="str">
        <f aca="false">IF(A16="","",IF(G16&gt;0,B16/G16,""))</f>
        <v/>
      </c>
      <c r="J16" s="24" t="str">
        <f aca="false">IF(A16="","",IF(H16&gt;0,C16/H16,""))</f>
        <v/>
      </c>
      <c r="K16" s="24" t="str">
        <f aca="false">IF(A16="","",G16*(Parametros!$B$17+Parametros!$B$19))</f>
        <v/>
      </c>
      <c r="L16" s="11"/>
      <c r="M16" s="12" t="str">
        <f aca="false">IF(A16="","",(G16+H16)*30*L16)</f>
        <v/>
      </c>
      <c r="N16" s="6" t="str">
        <f aca="false">IF(A16="","",IF(OR(AND(G16&gt;0,B16&lt;=0),AND(H16&gt;0,C16&lt;=0)),"RUPTURA",IF(OR(AND(G16&gt;0,B16&lt;=K16),AND(H16&gt;0,C16&lt;=H16*(Parametros!$B$17+Parametros!$B$19))),"REPOR (abaixo do ponto)",IF(G16+H16=0,"Sem giro: revisar",IF(OR(AND(G16&gt;0,I16&gt;120),AND(H16&gt;0,J16&gt;120)),"Excesso (&gt;120 dias)","OK")))))</f>
        <v/>
      </c>
      <c r="O16" s="25"/>
    </row>
    <row r="17" customFormat="false" ht="15" hidden="false" customHeight="false" outlineLevel="0" collapsed="false">
      <c r="A17" s="16"/>
      <c r="B17" s="14"/>
      <c r="C17" s="14"/>
      <c r="D17" s="14"/>
      <c r="E17" s="14"/>
      <c r="F17" s="14"/>
      <c r="G17" s="18" t="str">
        <f aca="false">IF(A17="","",(E17+F17)/30)</f>
        <v/>
      </c>
      <c r="H17" s="18" t="str">
        <f aca="false">IF(A17="","",D17/30)</f>
        <v/>
      </c>
      <c r="I17" s="24" t="str">
        <f aca="false">IF(A17="","",IF(G17&gt;0,B17/G17,""))</f>
        <v/>
      </c>
      <c r="J17" s="24" t="str">
        <f aca="false">IF(A17="","",IF(H17&gt;0,C17/H17,""))</f>
        <v/>
      </c>
      <c r="K17" s="24" t="str">
        <f aca="false">IF(A17="","",G17*(Parametros!$B$17+Parametros!$B$19))</f>
        <v/>
      </c>
      <c r="L17" s="11"/>
      <c r="M17" s="12" t="str">
        <f aca="false">IF(A17="","",(G17+H17)*30*L17)</f>
        <v/>
      </c>
      <c r="N17" s="6" t="str">
        <f aca="false">IF(A17="","",IF(OR(AND(G17&gt;0,B17&lt;=0),AND(H17&gt;0,C17&lt;=0)),"RUPTURA",IF(OR(AND(G17&gt;0,B17&lt;=K17),AND(H17&gt;0,C17&lt;=H17*(Parametros!$B$17+Parametros!$B$19))),"REPOR (abaixo do ponto)",IF(G17+H17=0,"Sem giro: revisar",IF(OR(AND(G17&gt;0,I17&gt;120),AND(H17&gt;0,J17&gt;120)),"Excesso (&gt;120 dias)","OK")))))</f>
        <v/>
      </c>
      <c r="O17" s="25"/>
    </row>
    <row r="18" customFormat="false" ht="15" hidden="false" customHeight="false" outlineLevel="0" collapsed="false">
      <c r="A18" s="16"/>
      <c r="B18" s="14"/>
      <c r="C18" s="14"/>
      <c r="D18" s="14"/>
      <c r="E18" s="14"/>
      <c r="F18" s="14"/>
      <c r="G18" s="18" t="str">
        <f aca="false">IF(A18="","",(E18+F18)/30)</f>
        <v/>
      </c>
      <c r="H18" s="18" t="str">
        <f aca="false">IF(A18="","",D18/30)</f>
        <v/>
      </c>
      <c r="I18" s="24" t="str">
        <f aca="false">IF(A18="","",IF(G18&gt;0,B18/G18,""))</f>
        <v/>
      </c>
      <c r="J18" s="24" t="str">
        <f aca="false">IF(A18="","",IF(H18&gt;0,C18/H18,""))</f>
        <v/>
      </c>
      <c r="K18" s="24" t="str">
        <f aca="false">IF(A18="","",G18*(Parametros!$B$17+Parametros!$B$19))</f>
        <v/>
      </c>
      <c r="L18" s="11"/>
      <c r="M18" s="12" t="str">
        <f aca="false">IF(A18="","",(G18+H18)*30*L18)</f>
        <v/>
      </c>
      <c r="N18" s="6" t="str">
        <f aca="false">IF(A18="","",IF(OR(AND(G18&gt;0,B18&lt;=0),AND(H18&gt;0,C18&lt;=0)),"RUPTURA",IF(OR(AND(G18&gt;0,B18&lt;=K18),AND(H18&gt;0,C18&lt;=H18*(Parametros!$B$17+Parametros!$B$19))),"REPOR (abaixo do ponto)",IF(G18+H18=0,"Sem giro: revisar",IF(OR(AND(G18&gt;0,I18&gt;120),AND(H18&gt;0,J18&gt;120)),"Excesso (&gt;120 dias)","OK")))))</f>
        <v/>
      </c>
      <c r="O18" s="25"/>
    </row>
    <row r="19" customFormat="false" ht="15" hidden="false" customHeight="false" outlineLevel="0" collapsed="false">
      <c r="A19" s="16"/>
      <c r="B19" s="14"/>
      <c r="C19" s="14"/>
      <c r="D19" s="14"/>
      <c r="E19" s="14"/>
      <c r="F19" s="14"/>
      <c r="G19" s="18" t="str">
        <f aca="false">IF(A19="","",(E19+F19)/30)</f>
        <v/>
      </c>
      <c r="H19" s="18" t="str">
        <f aca="false">IF(A19="","",D19/30)</f>
        <v/>
      </c>
      <c r="I19" s="24" t="str">
        <f aca="false">IF(A19="","",IF(G19&gt;0,B19/G19,""))</f>
        <v/>
      </c>
      <c r="J19" s="24" t="str">
        <f aca="false">IF(A19="","",IF(H19&gt;0,C19/H19,""))</f>
        <v/>
      </c>
      <c r="K19" s="24" t="str">
        <f aca="false">IF(A19="","",G19*(Parametros!$B$17+Parametros!$B$19))</f>
        <v/>
      </c>
      <c r="L19" s="11"/>
      <c r="M19" s="12" t="str">
        <f aca="false">IF(A19="","",(G19+H19)*30*L19)</f>
        <v/>
      </c>
      <c r="N19" s="6" t="str">
        <f aca="false">IF(A19="","",IF(OR(AND(G19&gt;0,B19&lt;=0),AND(H19&gt;0,C19&lt;=0)),"RUPTURA",IF(OR(AND(G19&gt;0,B19&lt;=K19),AND(H19&gt;0,C19&lt;=H19*(Parametros!$B$17+Parametros!$B$19))),"REPOR (abaixo do ponto)",IF(G19+H19=0,"Sem giro: revisar",IF(OR(AND(G19&gt;0,I19&gt;120),AND(H19&gt;0,J19&gt;120)),"Excesso (&gt;120 dias)","OK")))))</f>
        <v/>
      </c>
      <c r="O19" s="25"/>
    </row>
    <row r="20" customFormat="false" ht="15" hidden="false" customHeight="false" outlineLevel="0" collapsed="false">
      <c r="A20" s="16"/>
      <c r="B20" s="14"/>
      <c r="C20" s="14"/>
      <c r="D20" s="14"/>
      <c r="E20" s="14"/>
      <c r="F20" s="14"/>
      <c r="G20" s="18" t="str">
        <f aca="false">IF(A20="","",(E20+F20)/30)</f>
        <v/>
      </c>
      <c r="H20" s="18" t="str">
        <f aca="false">IF(A20="","",D20/30)</f>
        <v/>
      </c>
      <c r="I20" s="24" t="str">
        <f aca="false">IF(A20="","",IF(G20&gt;0,B20/G20,""))</f>
        <v/>
      </c>
      <c r="J20" s="24" t="str">
        <f aca="false">IF(A20="","",IF(H20&gt;0,C20/H20,""))</f>
        <v/>
      </c>
      <c r="K20" s="24" t="str">
        <f aca="false">IF(A20="","",G20*(Parametros!$B$17+Parametros!$B$19))</f>
        <v/>
      </c>
      <c r="L20" s="11"/>
      <c r="M20" s="12" t="str">
        <f aca="false">IF(A20="","",(G20+H20)*30*L20)</f>
        <v/>
      </c>
      <c r="N20" s="6" t="str">
        <f aca="false">IF(A20="","",IF(OR(AND(G20&gt;0,B20&lt;=0),AND(H20&gt;0,C20&lt;=0)),"RUPTURA",IF(OR(AND(G20&gt;0,B20&lt;=K20),AND(H20&gt;0,C20&lt;=H20*(Parametros!$B$17+Parametros!$B$19))),"REPOR (abaixo do ponto)",IF(G20+H20=0,"Sem giro: revisar",IF(OR(AND(G20&gt;0,I20&gt;120),AND(H20&gt;0,J20&gt;120)),"Excesso (&gt;120 dias)","OK")))))</f>
        <v/>
      </c>
      <c r="O20" s="25"/>
    </row>
    <row r="21" customFormat="false" ht="15" hidden="false" customHeight="false" outlineLevel="0" collapsed="false">
      <c r="A21" s="16"/>
      <c r="B21" s="14"/>
      <c r="C21" s="14"/>
      <c r="D21" s="14"/>
      <c r="E21" s="14"/>
      <c r="F21" s="14"/>
      <c r="G21" s="18" t="str">
        <f aca="false">IF(A21="","",(E21+F21)/30)</f>
        <v/>
      </c>
      <c r="H21" s="18" t="str">
        <f aca="false">IF(A21="","",D21/30)</f>
        <v/>
      </c>
      <c r="I21" s="24" t="str">
        <f aca="false">IF(A21="","",IF(G21&gt;0,B21/G21,""))</f>
        <v/>
      </c>
      <c r="J21" s="24" t="str">
        <f aca="false">IF(A21="","",IF(H21&gt;0,C21/H21,""))</f>
        <v/>
      </c>
      <c r="K21" s="24" t="str">
        <f aca="false">IF(A21="","",G21*(Parametros!$B$17+Parametros!$B$19))</f>
        <v/>
      </c>
      <c r="L21" s="11"/>
      <c r="M21" s="12" t="str">
        <f aca="false">IF(A21="","",(G21+H21)*30*L21)</f>
        <v/>
      </c>
      <c r="N21" s="6" t="str">
        <f aca="false">IF(A21="","",IF(OR(AND(G21&gt;0,B21&lt;=0),AND(H21&gt;0,C21&lt;=0)),"RUPTURA",IF(OR(AND(G21&gt;0,B21&lt;=K21),AND(H21&gt;0,C21&lt;=H21*(Parametros!$B$17+Parametros!$B$19))),"REPOR (abaixo do ponto)",IF(G21+H21=0,"Sem giro: revisar",IF(OR(AND(G21&gt;0,I21&gt;120),AND(H21&gt;0,J21&gt;120)),"Excesso (&gt;120 dias)","OK")))))</f>
        <v/>
      </c>
      <c r="O21" s="25"/>
    </row>
    <row r="22" customFormat="false" ht="15" hidden="false" customHeight="false" outlineLevel="0" collapsed="false">
      <c r="A22" s="16"/>
      <c r="B22" s="14"/>
      <c r="C22" s="14"/>
      <c r="D22" s="14"/>
      <c r="E22" s="14"/>
      <c r="F22" s="14"/>
      <c r="G22" s="18" t="str">
        <f aca="false">IF(A22="","",(E22+F22)/30)</f>
        <v/>
      </c>
      <c r="H22" s="18" t="str">
        <f aca="false">IF(A22="","",D22/30)</f>
        <v/>
      </c>
      <c r="I22" s="24" t="str">
        <f aca="false">IF(A22="","",IF(G22&gt;0,B22/G22,""))</f>
        <v/>
      </c>
      <c r="J22" s="24" t="str">
        <f aca="false">IF(A22="","",IF(H22&gt;0,C22/H22,""))</f>
        <v/>
      </c>
      <c r="K22" s="24" t="str">
        <f aca="false">IF(A22="","",G22*(Parametros!$B$17+Parametros!$B$19))</f>
        <v/>
      </c>
      <c r="L22" s="11"/>
      <c r="M22" s="12" t="str">
        <f aca="false">IF(A22="","",(G22+H22)*30*L22)</f>
        <v/>
      </c>
      <c r="N22" s="6" t="str">
        <f aca="false">IF(A22="","",IF(OR(AND(G22&gt;0,B22&lt;=0),AND(H22&gt;0,C22&lt;=0)),"RUPTURA",IF(OR(AND(G22&gt;0,B22&lt;=K22),AND(H22&gt;0,C22&lt;=H22*(Parametros!$B$17+Parametros!$B$19))),"REPOR (abaixo do ponto)",IF(G22+H22=0,"Sem giro: revisar",IF(OR(AND(G22&gt;0,I22&gt;120),AND(H22&gt;0,J22&gt;120)),"Excesso (&gt;120 dias)","OK")))))</f>
        <v/>
      </c>
      <c r="O22" s="25"/>
    </row>
    <row r="23" customFormat="false" ht="15" hidden="false" customHeight="false" outlineLevel="0" collapsed="false">
      <c r="A23" s="16"/>
      <c r="B23" s="14"/>
      <c r="C23" s="14"/>
      <c r="D23" s="14"/>
      <c r="E23" s="14"/>
      <c r="F23" s="14"/>
      <c r="G23" s="18" t="str">
        <f aca="false">IF(A23="","",(E23+F23)/30)</f>
        <v/>
      </c>
      <c r="H23" s="18" t="str">
        <f aca="false">IF(A23="","",D23/30)</f>
        <v/>
      </c>
      <c r="I23" s="24" t="str">
        <f aca="false">IF(A23="","",IF(G23&gt;0,B23/G23,""))</f>
        <v/>
      </c>
      <c r="J23" s="24" t="str">
        <f aca="false">IF(A23="","",IF(H23&gt;0,C23/H23,""))</f>
        <v/>
      </c>
      <c r="K23" s="24" t="str">
        <f aca="false">IF(A23="","",G23*(Parametros!$B$17+Parametros!$B$19))</f>
        <v/>
      </c>
      <c r="L23" s="11"/>
      <c r="M23" s="12" t="str">
        <f aca="false">IF(A23="","",(G23+H23)*30*L23)</f>
        <v/>
      </c>
      <c r="N23" s="6" t="str">
        <f aca="false">IF(A23="","",IF(OR(AND(G23&gt;0,B23&lt;=0),AND(H23&gt;0,C23&lt;=0)),"RUPTURA",IF(OR(AND(G23&gt;0,B23&lt;=K23),AND(H23&gt;0,C23&lt;=H23*(Parametros!$B$17+Parametros!$B$19))),"REPOR (abaixo do ponto)",IF(G23+H23=0,"Sem giro: revisar",IF(OR(AND(G23&gt;0,I23&gt;120),AND(H23&gt;0,J23&gt;120)),"Excesso (&gt;120 dias)","OK")))))</f>
        <v/>
      </c>
      <c r="O23" s="25"/>
    </row>
    <row r="24" customFormat="false" ht="15" hidden="false" customHeight="false" outlineLevel="0" collapsed="false">
      <c r="A24" s="16"/>
      <c r="B24" s="14"/>
      <c r="C24" s="14"/>
      <c r="D24" s="14"/>
      <c r="E24" s="14"/>
      <c r="F24" s="14"/>
      <c r="G24" s="18" t="str">
        <f aca="false">IF(A24="","",(E24+F24)/30)</f>
        <v/>
      </c>
      <c r="H24" s="18" t="str">
        <f aca="false">IF(A24="","",D24/30)</f>
        <v/>
      </c>
      <c r="I24" s="24" t="str">
        <f aca="false">IF(A24="","",IF(G24&gt;0,B24/G24,""))</f>
        <v/>
      </c>
      <c r="J24" s="24" t="str">
        <f aca="false">IF(A24="","",IF(H24&gt;0,C24/H24,""))</f>
        <v/>
      </c>
      <c r="K24" s="24" t="str">
        <f aca="false">IF(A24="","",G24*(Parametros!$B$17+Parametros!$B$19))</f>
        <v/>
      </c>
      <c r="L24" s="11"/>
      <c r="M24" s="12" t="str">
        <f aca="false">IF(A24="","",(G24+H24)*30*L24)</f>
        <v/>
      </c>
      <c r="N24" s="6" t="str">
        <f aca="false">IF(A24="","",IF(OR(AND(G24&gt;0,B24&lt;=0),AND(H24&gt;0,C24&lt;=0)),"RUPTURA",IF(OR(AND(G24&gt;0,B24&lt;=K24),AND(H24&gt;0,C24&lt;=H24*(Parametros!$B$17+Parametros!$B$19))),"REPOR (abaixo do ponto)",IF(G24+H24=0,"Sem giro: revisar",IF(OR(AND(G24&gt;0,I24&gt;120),AND(H24&gt;0,J24&gt;120)),"Excesso (&gt;120 dias)","OK")))))</f>
        <v/>
      </c>
      <c r="O24" s="25"/>
    </row>
    <row r="25" customFormat="false" ht="15" hidden="false" customHeight="false" outlineLevel="0" collapsed="false">
      <c r="A25" s="16"/>
      <c r="B25" s="14"/>
      <c r="C25" s="14"/>
      <c r="D25" s="14"/>
      <c r="E25" s="14"/>
      <c r="F25" s="14"/>
      <c r="G25" s="18" t="str">
        <f aca="false">IF(A25="","",(E25+F25)/30)</f>
        <v/>
      </c>
      <c r="H25" s="18" t="str">
        <f aca="false">IF(A25="","",D25/30)</f>
        <v/>
      </c>
      <c r="I25" s="24" t="str">
        <f aca="false">IF(A25="","",IF(G25&gt;0,B25/G25,""))</f>
        <v/>
      </c>
      <c r="J25" s="24" t="str">
        <f aca="false">IF(A25="","",IF(H25&gt;0,C25/H25,""))</f>
        <v/>
      </c>
      <c r="K25" s="24" t="str">
        <f aca="false">IF(A25="","",G25*(Parametros!$B$17+Parametros!$B$19))</f>
        <v/>
      </c>
      <c r="L25" s="11"/>
      <c r="M25" s="12" t="str">
        <f aca="false">IF(A25="","",(G25+H25)*30*L25)</f>
        <v/>
      </c>
      <c r="N25" s="6" t="str">
        <f aca="false">IF(A25="","",IF(OR(AND(G25&gt;0,B25&lt;=0),AND(H25&gt;0,C25&lt;=0)),"RUPTURA",IF(OR(AND(G25&gt;0,B25&lt;=K25),AND(H25&gt;0,C25&lt;=H25*(Parametros!$B$17+Parametros!$B$19))),"REPOR (abaixo do ponto)",IF(G25+H25=0,"Sem giro: revisar",IF(OR(AND(G25&gt;0,I25&gt;120),AND(H25&gt;0,J25&gt;120)),"Excesso (&gt;120 dias)","OK")))))</f>
        <v/>
      </c>
      <c r="O25" s="25"/>
    </row>
    <row r="26" customFormat="false" ht="15" hidden="false" customHeight="false" outlineLevel="0" collapsed="false">
      <c r="A26" s="16"/>
      <c r="B26" s="14"/>
      <c r="C26" s="14"/>
      <c r="D26" s="14"/>
      <c r="E26" s="14"/>
      <c r="F26" s="14"/>
      <c r="G26" s="18" t="str">
        <f aca="false">IF(A26="","",(E26+F26)/30)</f>
        <v/>
      </c>
      <c r="H26" s="18" t="str">
        <f aca="false">IF(A26="","",D26/30)</f>
        <v/>
      </c>
      <c r="I26" s="24" t="str">
        <f aca="false">IF(A26="","",IF(G26&gt;0,B26/G26,""))</f>
        <v/>
      </c>
      <c r="J26" s="24" t="str">
        <f aca="false">IF(A26="","",IF(H26&gt;0,C26/H26,""))</f>
        <v/>
      </c>
      <c r="K26" s="24" t="str">
        <f aca="false">IF(A26="","",G26*(Parametros!$B$17+Parametros!$B$19))</f>
        <v/>
      </c>
      <c r="L26" s="11"/>
      <c r="M26" s="12" t="str">
        <f aca="false">IF(A26="","",(G26+H26)*30*L26)</f>
        <v/>
      </c>
      <c r="N26" s="6" t="str">
        <f aca="false">IF(A26="","",IF(OR(AND(G26&gt;0,B26&lt;=0),AND(H26&gt;0,C26&lt;=0)),"RUPTURA",IF(OR(AND(G26&gt;0,B26&lt;=K26),AND(H26&gt;0,C26&lt;=H26*(Parametros!$B$17+Parametros!$B$19))),"REPOR (abaixo do ponto)",IF(G26+H26=0,"Sem giro: revisar",IF(OR(AND(G26&gt;0,I26&gt;120),AND(H26&gt;0,J26&gt;120)),"Excesso (&gt;120 dias)","OK")))))</f>
        <v/>
      </c>
      <c r="O26" s="25"/>
    </row>
    <row r="27" customFormat="false" ht="15" hidden="false" customHeight="false" outlineLevel="0" collapsed="false">
      <c r="A27" s="16"/>
      <c r="B27" s="14"/>
      <c r="C27" s="14"/>
      <c r="D27" s="14"/>
      <c r="E27" s="14"/>
      <c r="F27" s="14"/>
      <c r="G27" s="18" t="str">
        <f aca="false">IF(A27="","",(E27+F27)/30)</f>
        <v/>
      </c>
      <c r="H27" s="18" t="str">
        <f aca="false">IF(A27="","",D27/30)</f>
        <v/>
      </c>
      <c r="I27" s="24" t="str">
        <f aca="false">IF(A27="","",IF(G27&gt;0,B27/G27,""))</f>
        <v/>
      </c>
      <c r="J27" s="24" t="str">
        <f aca="false">IF(A27="","",IF(H27&gt;0,C27/H27,""))</f>
        <v/>
      </c>
      <c r="K27" s="24" t="str">
        <f aca="false">IF(A27="","",G27*(Parametros!$B$17+Parametros!$B$19))</f>
        <v/>
      </c>
      <c r="L27" s="11"/>
      <c r="M27" s="12" t="str">
        <f aca="false">IF(A27="","",(G27+H27)*30*L27)</f>
        <v/>
      </c>
      <c r="N27" s="6" t="str">
        <f aca="false">IF(A27="","",IF(OR(AND(G27&gt;0,B27&lt;=0),AND(H27&gt;0,C27&lt;=0)),"RUPTURA",IF(OR(AND(G27&gt;0,B27&lt;=K27),AND(H27&gt;0,C27&lt;=H27*(Parametros!$B$17+Parametros!$B$19))),"REPOR (abaixo do ponto)",IF(G27+H27=0,"Sem giro: revisar",IF(OR(AND(G27&gt;0,I27&gt;120),AND(H27&gt;0,J27&gt;120)),"Excesso (&gt;120 dias)","OK")))))</f>
        <v/>
      </c>
      <c r="O27" s="25"/>
    </row>
    <row r="28" customFormat="false" ht="15" hidden="false" customHeight="false" outlineLevel="0" collapsed="false">
      <c r="A28" s="16"/>
      <c r="B28" s="14"/>
      <c r="C28" s="14"/>
      <c r="D28" s="14"/>
      <c r="E28" s="14"/>
      <c r="F28" s="14"/>
      <c r="G28" s="18" t="str">
        <f aca="false">IF(A28="","",(E28+F28)/30)</f>
        <v/>
      </c>
      <c r="H28" s="18" t="str">
        <f aca="false">IF(A28="","",D28/30)</f>
        <v/>
      </c>
      <c r="I28" s="24" t="str">
        <f aca="false">IF(A28="","",IF(G28&gt;0,B28/G28,""))</f>
        <v/>
      </c>
      <c r="J28" s="24" t="str">
        <f aca="false">IF(A28="","",IF(H28&gt;0,C28/H28,""))</f>
        <v/>
      </c>
      <c r="K28" s="24" t="str">
        <f aca="false">IF(A28="","",G28*(Parametros!$B$17+Parametros!$B$19))</f>
        <v/>
      </c>
      <c r="L28" s="11"/>
      <c r="M28" s="12" t="str">
        <f aca="false">IF(A28="","",(G28+H28)*30*L28)</f>
        <v/>
      </c>
      <c r="N28" s="6" t="str">
        <f aca="false">IF(A28="","",IF(OR(AND(G28&gt;0,B28&lt;=0),AND(H28&gt;0,C28&lt;=0)),"RUPTURA",IF(OR(AND(G28&gt;0,B28&lt;=K28),AND(H28&gt;0,C28&lt;=H28*(Parametros!$B$17+Parametros!$B$19))),"REPOR (abaixo do ponto)",IF(G28+H28=0,"Sem giro: revisar",IF(OR(AND(G28&gt;0,I28&gt;120),AND(H28&gt;0,J28&gt;120)),"Excesso (&gt;120 dias)","OK")))))</f>
        <v/>
      </c>
      <c r="O28" s="25"/>
    </row>
    <row r="29" customFormat="false" ht="15" hidden="false" customHeight="false" outlineLevel="0" collapsed="false">
      <c r="A29" s="16"/>
      <c r="B29" s="14"/>
      <c r="C29" s="14"/>
      <c r="D29" s="14"/>
      <c r="E29" s="14"/>
      <c r="F29" s="14"/>
      <c r="G29" s="18" t="str">
        <f aca="false">IF(A29="","",(E29+F29)/30)</f>
        <v/>
      </c>
      <c r="H29" s="18" t="str">
        <f aca="false">IF(A29="","",D29/30)</f>
        <v/>
      </c>
      <c r="I29" s="24" t="str">
        <f aca="false">IF(A29="","",IF(G29&gt;0,B29/G29,""))</f>
        <v/>
      </c>
      <c r="J29" s="24" t="str">
        <f aca="false">IF(A29="","",IF(H29&gt;0,C29/H29,""))</f>
        <v/>
      </c>
      <c r="K29" s="24" t="str">
        <f aca="false">IF(A29="","",G29*(Parametros!$B$17+Parametros!$B$19))</f>
        <v/>
      </c>
      <c r="L29" s="11"/>
      <c r="M29" s="12" t="str">
        <f aca="false">IF(A29="","",(G29+H29)*30*L29)</f>
        <v/>
      </c>
      <c r="N29" s="6" t="str">
        <f aca="false">IF(A29="","",IF(OR(AND(G29&gt;0,B29&lt;=0),AND(H29&gt;0,C29&lt;=0)),"RUPTURA",IF(OR(AND(G29&gt;0,B29&lt;=K29),AND(H29&gt;0,C29&lt;=H29*(Parametros!$B$17+Parametros!$B$19))),"REPOR (abaixo do ponto)",IF(G29+H29=0,"Sem giro: revisar",IF(OR(AND(G29&gt;0,I29&gt;120),AND(H29&gt;0,J29&gt;120)),"Excesso (&gt;120 dias)","OK")))))</f>
        <v/>
      </c>
      <c r="O29" s="25"/>
    </row>
    <row r="30" customFormat="false" ht="15" hidden="false" customHeight="false" outlineLevel="0" collapsed="false">
      <c r="A30" s="16"/>
      <c r="B30" s="14"/>
      <c r="C30" s="14"/>
      <c r="D30" s="14"/>
      <c r="E30" s="14"/>
      <c r="F30" s="14"/>
      <c r="G30" s="18" t="str">
        <f aca="false">IF(A30="","",(E30+F30)/30)</f>
        <v/>
      </c>
      <c r="H30" s="18" t="str">
        <f aca="false">IF(A30="","",D30/30)</f>
        <v/>
      </c>
      <c r="I30" s="24" t="str">
        <f aca="false">IF(A30="","",IF(G30&gt;0,B30/G30,""))</f>
        <v/>
      </c>
      <c r="J30" s="24" t="str">
        <f aca="false">IF(A30="","",IF(H30&gt;0,C30/H30,""))</f>
        <v/>
      </c>
      <c r="K30" s="24" t="str">
        <f aca="false">IF(A30="","",G30*(Parametros!$B$17+Parametros!$B$19))</f>
        <v/>
      </c>
      <c r="L30" s="11"/>
      <c r="M30" s="12" t="str">
        <f aca="false">IF(A30="","",(G30+H30)*30*L30)</f>
        <v/>
      </c>
      <c r="N30" s="6" t="str">
        <f aca="false">IF(A30="","",IF(OR(AND(G30&gt;0,B30&lt;=0),AND(H30&gt;0,C30&lt;=0)),"RUPTURA",IF(OR(AND(G30&gt;0,B30&lt;=K30),AND(H30&gt;0,C30&lt;=H30*(Parametros!$B$17+Parametros!$B$19))),"REPOR (abaixo do ponto)",IF(G30+H30=0,"Sem giro: revisar",IF(OR(AND(G30&gt;0,I30&gt;120),AND(H30&gt;0,J30&gt;120)),"Excesso (&gt;120 dias)","OK")))))</f>
        <v/>
      </c>
      <c r="O30" s="25"/>
    </row>
    <row r="31" customFormat="false" ht="15" hidden="false" customHeight="false" outlineLevel="0" collapsed="false">
      <c r="A31" s="16"/>
      <c r="B31" s="14"/>
      <c r="C31" s="14"/>
      <c r="D31" s="14"/>
      <c r="E31" s="14"/>
      <c r="F31" s="14"/>
      <c r="G31" s="18" t="str">
        <f aca="false">IF(A31="","",(E31+F31)/30)</f>
        <v/>
      </c>
      <c r="H31" s="18" t="str">
        <f aca="false">IF(A31="","",D31/30)</f>
        <v/>
      </c>
      <c r="I31" s="24" t="str">
        <f aca="false">IF(A31="","",IF(G31&gt;0,B31/G31,""))</f>
        <v/>
      </c>
      <c r="J31" s="24" t="str">
        <f aca="false">IF(A31="","",IF(H31&gt;0,C31/H31,""))</f>
        <v/>
      </c>
      <c r="K31" s="24" t="str">
        <f aca="false">IF(A31="","",G31*(Parametros!$B$17+Parametros!$B$19))</f>
        <v/>
      </c>
      <c r="L31" s="11"/>
      <c r="M31" s="12" t="str">
        <f aca="false">IF(A31="","",(G31+H31)*30*L31)</f>
        <v/>
      </c>
      <c r="N31" s="6" t="str">
        <f aca="false">IF(A31="","",IF(OR(AND(G31&gt;0,B31&lt;=0),AND(H31&gt;0,C31&lt;=0)),"RUPTURA",IF(OR(AND(G31&gt;0,B31&lt;=K31),AND(H31&gt;0,C31&lt;=H31*(Parametros!$B$17+Parametros!$B$19))),"REPOR (abaixo do ponto)",IF(G31+H31=0,"Sem giro: revisar",IF(OR(AND(G31&gt;0,I31&gt;120),AND(H31&gt;0,J31&gt;120)),"Excesso (&gt;120 dias)","OK")))))</f>
        <v/>
      </c>
      <c r="O31" s="25"/>
    </row>
    <row r="32" customFormat="false" ht="15" hidden="false" customHeight="false" outlineLevel="0" collapsed="false">
      <c r="A32" s="16"/>
      <c r="B32" s="14"/>
      <c r="C32" s="14"/>
      <c r="D32" s="14"/>
      <c r="E32" s="14"/>
      <c r="F32" s="14"/>
      <c r="G32" s="18" t="str">
        <f aca="false">IF(A32="","",(E32+F32)/30)</f>
        <v/>
      </c>
      <c r="H32" s="18" t="str">
        <f aca="false">IF(A32="","",D32/30)</f>
        <v/>
      </c>
      <c r="I32" s="24" t="str">
        <f aca="false">IF(A32="","",IF(G32&gt;0,B32/G32,""))</f>
        <v/>
      </c>
      <c r="J32" s="24" t="str">
        <f aca="false">IF(A32="","",IF(H32&gt;0,C32/H32,""))</f>
        <v/>
      </c>
      <c r="K32" s="24" t="str">
        <f aca="false">IF(A32="","",G32*(Parametros!$B$17+Parametros!$B$19))</f>
        <v/>
      </c>
      <c r="L32" s="11"/>
      <c r="M32" s="12" t="str">
        <f aca="false">IF(A32="","",(G32+H32)*30*L32)</f>
        <v/>
      </c>
      <c r="N32" s="6" t="str">
        <f aca="false">IF(A32="","",IF(OR(AND(G32&gt;0,B32&lt;=0),AND(H32&gt;0,C32&lt;=0)),"RUPTURA",IF(OR(AND(G32&gt;0,B32&lt;=K32),AND(H32&gt;0,C32&lt;=H32*(Parametros!$B$17+Parametros!$B$19))),"REPOR (abaixo do ponto)",IF(G32+H32=0,"Sem giro: revisar",IF(OR(AND(G32&gt;0,I32&gt;120),AND(H32&gt;0,J32&gt;120)),"Excesso (&gt;120 dias)","OK")))))</f>
        <v/>
      </c>
      <c r="O32" s="25"/>
    </row>
    <row r="33" customFormat="false" ht="15" hidden="false" customHeight="false" outlineLevel="0" collapsed="false">
      <c r="A33" s="16"/>
      <c r="B33" s="14"/>
      <c r="C33" s="14"/>
      <c r="D33" s="14"/>
      <c r="E33" s="14"/>
      <c r="F33" s="14"/>
      <c r="G33" s="18" t="str">
        <f aca="false">IF(A33="","",(E33+F33)/30)</f>
        <v/>
      </c>
      <c r="H33" s="18" t="str">
        <f aca="false">IF(A33="","",D33/30)</f>
        <v/>
      </c>
      <c r="I33" s="24" t="str">
        <f aca="false">IF(A33="","",IF(G33&gt;0,B33/G33,""))</f>
        <v/>
      </c>
      <c r="J33" s="24" t="str">
        <f aca="false">IF(A33="","",IF(H33&gt;0,C33/H33,""))</f>
        <v/>
      </c>
      <c r="K33" s="24" t="str">
        <f aca="false">IF(A33="","",G33*(Parametros!$B$17+Parametros!$B$19))</f>
        <v/>
      </c>
      <c r="L33" s="11"/>
      <c r="M33" s="12" t="str">
        <f aca="false">IF(A33="","",(G33+H33)*30*L33)</f>
        <v/>
      </c>
      <c r="N33" s="6" t="str">
        <f aca="false">IF(A33="","",IF(OR(AND(G33&gt;0,B33&lt;=0),AND(H33&gt;0,C33&lt;=0)),"RUPTURA",IF(OR(AND(G33&gt;0,B33&lt;=K33),AND(H33&gt;0,C33&lt;=H33*(Parametros!$B$17+Parametros!$B$19))),"REPOR (abaixo do ponto)",IF(G33+H33=0,"Sem giro: revisar",IF(OR(AND(G33&gt;0,I33&gt;120),AND(H33&gt;0,J33&gt;120)),"Excesso (&gt;120 dias)","OK")))))</f>
        <v/>
      </c>
      <c r="O33" s="25"/>
    </row>
    <row r="34" customFormat="false" ht="15" hidden="false" customHeight="false" outlineLevel="0" collapsed="false">
      <c r="A34" s="16"/>
      <c r="B34" s="14"/>
      <c r="C34" s="14"/>
      <c r="D34" s="14"/>
      <c r="E34" s="14"/>
      <c r="F34" s="14"/>
      <c r="G34" s="18" t="str">
        <f aca="false">IF(A34="","",(E34+F34)/30)</f>
        <v/>
      </c>
      <c r="H34" s="18" t="str">
        <f aca="false">IF(A34="","",D34/30)</f>
        <v/>
      </c>
      <c r="I34" s="24" t="str">
        <f aca="false">IF(A34="","",IF(G34&gt;0,B34/G34,""))</f>
        <v/>
      </c>
      <c r="J34" s="24" t="str">
        <f aca="false">IF(A34="","",IF(H34&gt;0,C34/H34,""))</f>
        <v/>
      </c>
      <c r="K34" s="24" t="str">
        <f aca="false">IF(A34="","",G34*(Parametros!$B$17+Parametros!$B$19))</f>
        <v/>
      </c>
      <c r="L34" s="11"/>
      <c r="M34" s="12" t="str">
        <f aca="false">IF(A34="","",(G34+H34)*30*L34)</f>
        <v/>
      </c>
      <c r="N34" s="6" t="str">
        <f aca="false">IF(A34="","",IF(OR(AND(G34&gt;0,B34&lt;=0),AND(H34&gt;0,C34&lt;=0)),"RUPTURA",IF(OR(AND(G34&gt;0,B34&lt;=K34),AND(H34&gt;0,C34&lt;=H34*(Parametros!$B$17+Parametros!$B$19))),"REPOR (abaixo do ponto)",IF(G34+H34=0,"Sem giro: revisar",IF(OR(AND(G34&gt;0,I34&gt;120),AND(H34&gt;0,J34&gt;120)),"Excesso (&gt;120 dias)","OK")))))</f>
        <v/>
      </c>
      <c r="O34" s="25"/>
    </row>
    <row r="35" customFormat="false" ht="15" hidden="false" customHeight="false" outlineLevel="0" collapsed="false">
      <c r="A35" s="16"/>
      <c r="B35" s="14"/>
      <c r="C35" s="14"/>
      <c r="D35" s="14"/>
      <c r="E35" s="14"/>
      <c r="F35" s="14"/>
      <c r="G35" s="18" t="str">
        <f aca="false">IF(A35="","",(E35+F35)/30)</f>
        <v/>
      </c>
      <c r="H35" s="18" t="str">
        <f aca="false">IF(A35="","",D35/30)</f>
        <v/>
      </c>
      <c r="I35" s="24" t="str">
        <f aca="false">IF(A35="","",IF(G35&gt;0,B35/G35,""))</f>
        <v/>
      </c>
      <c r="J35" s="24" t="str">
        <f aca="false">IF(A35="","",IF(H35&gt;0,C35/H35,""))</f>
        <v/>
      </c>
      <c r="K35" s="24" t="str">
        <f aca="false">IF(A35="","",G35*(Parametros!$B$17+Parametros!$B$19))</f>
        <v/>
      </c>
      <c r="L35" s="11"/>
      <c r="M35" s="12" t="str">
        <f aca="false">IF(A35="","",(G35+H35)*30*L35)</f>
        <v/>
      </c>
      <c r="N35" s="6" t="str">
        <f aca="false">IF(A35="","",IF(OR(AND(G35&gt;0,B35&lt;=0),AND(H35&gt;0,C35&lt;=0)),"RUPTURA",IF(OR(AND(G35&gt;0,B35&lt;=K35),AND(H35&gt;0,C35&lt;=H35*(Parametros!$B$17+Parametros!$B$19))),"REPOR (abaixo do ponto)",IF(G35+H35=0,"Sem giro: revisar",IF(OR(AND(G35&gt;0,I35&gt;120),AND(H35&gt;0,J35&gt;120)),"Excesso (&gt;120 dias)","OK")))))</f>
        <v/>
      </c>
      <c r="O35" s="25"/>
    </row>
    <row r="37" customFormat="false" ht="15" hidden="false" customHeight="false" outlineLevel="0" collapsed="false">
      <c r="A37" s="26" t="s">
        <v>127</v>
      </c>
      <c r="M37" s="21" t="n">
        <f aca="false">SUM(M6:M35)</f>
        <v>1600</v>
      </c>
    </row>
    <row r="38" customFormat="false" ht="15" hidden="false" customHeight="false" outlineLevel="0" collapsed="false">
      <c r="A38" s="26" t="s">
        <v>128</v>
      </c>
      <c r="M38" s="12" t="n">
        <f aca="false">Parametros!$B$16+Parametros!$B$21</f>
        <v>500</v>
      </c>
    </row>
    <row r="39" customFormat="false" ht="15" hidden="false" customHeight="false" outlineLevel="0" collapsed="false">
      <c r="A39" s="26" t="s">
        <v>129</v>
      </c>
      <c r="M39" s="21" t="n">
        <f aca="false">M38-M37</f>
        <v>-1100</v>
      </c>
    </row>
  </sheetData>
  <conditionalFormatting sqref="N6:N35">
    <cfRule type="expression" priority="2" aboveAverage="0" equalAverage="0" bottom="0" percent="0" rank="0" text="" dxfId="1">
      <formula>OR(N6="RUPTURA",LEFT(N6,5)="REPOR")</formula>
    </cfRule>
    <cfRule type="cellIs" priority="3" operator="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130</v>
      </c>
    </row>
    <row r="2" customFormat="false" ht="15" hidden="false" customHeight="false" outlineLevel="0" collapsed="false">
      <c r="A2" s="15" t="s">
        <v>131</v>
      </c>
    </row>
    <row r="3" customFormat="false" ht="15" hidden="false" customHeight="false" outlineLevel="0" collapsed="false">
      <c r="A3" s="26" t="s">
        <v>132</v>
      </c>
      <c r="B3" s="11" t="n">
        <v>0</v>
      </c>
    </row>
    <row r="4" customFormat="false" ht="21.75" hidden="false" customHeight="true" outlineLevel="0" collapsed="false">
      <c r="A4" s="5" t="s">
        <v>133</v>
      </c>
      <c r="B4" s="5" t="s">
        <v>134</v>
      </c>
      <c r="C4" s="5" t="s">
        <v>135</v>
      </c>
      <c r="D4" s="5" t="s">
        <v>136</v>
      </c>
      <c r="E4" s="5" t="s">
        <v>137</v>
      </c>
    </row>
    <row r="5" customFormat="false" ht="15" hidden="false" customHeight="false" outlineLevel="0" collapsed="false">
      <c r="A5" s="6" t="s">
        <v>138</v>
      </c>
      <c r="B5" s="11"/>
      <c r="C5" s="11"/>
      <c r="D5" s="11"/>
      <c r="E5" s="11"/>
    </row>
    <row r="6" customFormat="false" ht="15" hidden="false" customHeight="false" outlineLevel="0" collapsed="false">
      <c r="A6" s="6" t="s">
        <v>139</v>
      </c>
      <c r="B6" s="11"/>
      <c r="C6" s="12" t="n">
        <f aca="false">B12</f>
        <v>0</v>
      </c>
      <c r="D6" s="12" t="n">
        <f aca="false">C12</f>
        <v>0</v>
      </c>
      <c r="E6" s="12" t="n">
        <f aca="false">D12</f>
        <v>0</v>
      </c>
    </row>
    <row r="7" customFormat="false" ht="15" hidden="false" customHeight="false" outlineLevel="0" collapsed="false">
      <c r="A7" s="6" t="s">
        <v>140</v>
      </c>
      <c r="B7" s="11"/>
      <c r="C7" s="11"/>
      <c r="D7" s="11"/>
      <c r="E7" s="11"/>
    </row>
    <row r="8" customFormat="false" ht="15" hidden="false" customHeight="false" outlineLevel="0" collapsed="false">
      <c r="A8" s="6" t="s">
        <v>141</v>
      </c>
      <c r="B8" s="12" t="n">
        <f aca="false">Parametros!$B$11</f>
        <v>300</v>
      </c>
      <c r="C8" s="12" t="n">
        <f aca="false">Parametros!$B$11</f>
        <v>300</v>
      </c>
      <c r="D8" s="12" t="n">
        <f aca="false">Parametros!$B$11</f>
        <v>300</v>
      </c>
      <c r="E8" s="12" t="n">
        <f aca="false">Parametros!$B$11</f>
        <v>300</v>
      </c>
    </row>
    <row r="9" customFormat="false" ht="15" hidden="false" customHeight="false" outlineLevel="0" collapsed="false">
      <c r="A9" s="6" t="s">
        <v>142</v>
      </c>
      <c r="B9" s="11"/>
      <c r="C9" s="11"/>
      <c r="D9" s="11"/>
      <c r="E9" s="11"/>
    </row>
    <row r="10" customFormat="false" ht="15" hidden="false" customHeight="false" outlineLevel="0" collapsed="false">
      <c r="A10" s="19" t="s">
        <v>143</v>
      </c>
      <c r="B10" s="21" t="n">
        <f aca="false">B5-SUM(B6:B9)</f>
        <v>-300</v>
      </c>
      <c r="C10" s="21" t="n">
        <f aca="false">C5-SUM(C6:C9)</f>
        <v>-300</v>
      </c>
      <c r="D10" s="21" t="n">
        <f aca="false">D5-SUM(D6:D9)</f>
        <v>-300</v>
      </c>
      <c r="E10" s="21" t="n">
        <f aca="false">E5-SUM(E6:E9)</f>
        <v>-300</v>
      </c>
    </row>
    <row r="11" customFormat="false" ht="15" hidden="false" customHeight="false" outlineLevel="0" collapsed="false">
      <c r="A11" s="19" t="s">
        <v>144</v>
      </c>
      <c r="B11" s="21" t="n">
        <f aca="false">$B$3+B10</f>
        <v>-300</v>
      </c>
      <c r="C11" s="21" t="n">
        <f aca="false">B11+C10</f>
        <v>-600</v>
      </c>
      <c r="D11" s="21" t="n">
        <f aca="false">C11+D10</f>
        <v>-900</v>
      </c>
      <c r="E11" s="21" t="n">
        <f aca="false">D11+E10</f>
        <v>-1200</v>
      </c>
    </row>
    <row r="12" customFormat="false" ht="15" hidden="false" customHeight="false" outlineLevel="0" collapsed="false">
      <c r="A12" s="6" t="s">
        <v>145</v>
      </c>
      <c r="B12" s="11"/>
      <c r="C12" s="11"/>
      <c r="D12" s="11"/>
      <c r="E12" s="11"/>
    </row>
    <row r="13" customFormat="false" ht="15" hidden="false" customHeight="false" outlineLevel="0" collapsed="false">
      <c r="A13" s="6" t="s">
        <v>146</v>
      </c>
      <c r="B13" s="12" t="n">
        <f aca="false">B12</f>
        <v>0</v>
      </c>
      <c r="C13" s="12" t="n">
        <f aca="false">C12</f>
        <v>0</v>
      </c>
      <c r="D13" s="12" t="n">
        <f aca="false">D12</f>
        <v>0</v>
      </c>
      <c r="E13" s="12" t="n">
        <f aca="false">E12</f>
        <v>0</v>
      </c>
    </row>
    <row r="14" customFormat="false" ht="15" hidden="false" customHeight="false" outlineLevel="0" collapsed="false">
      <c r="A14" s="6" t="s">
        <v>147</v>
      </c>
      <c r="B14" s="12" t="n">
        <f aca="false">MAX(0,Parametros!$B$21-B13)</f>
        <v>0</v>
      </c>
      <c r="C14" s="12" t="n">
        <f aca="false">MAX(0,Parametros!$B$21-C13)</f>
        <v>0</v>
      </c>
      <c r="D14" s="12" t="n">
        <f aca="false">MAX(0,Parametros!$B$21-D13)</f>
        <v>0</v>
      </c>
      <c r="E14" s="12" t="n">
        <f aca="false">MAX(0,Parametros!$B$21-E13)</f>
        <v>0</v>
      </c>
    </row>
    <row r="16" customFormat="false" ht="15" hidden="false" customHeight="false" outlineLevel="0" collapsed="false">
      <c r="A16" s="15" t="s">
        <v>148</v>
      </c>
    </row>
    <row r="17" customFormat="false" ht="15" hidden="false" customHeight="false" outlineLevel="0" collapsed="false">
      <c r="A17" s="15" t="s">
        <v>149</v>
      </c>
    </row>
  </sheetData>
  <conditionalFormatting sqref="B10:E11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150</v>
      </c>
    </row>
    <row r="2" customFormat="false" ht="15" hidden="false" customHeight="false" outlineLevel="0" collapsed="false">
      <c r="A2" s="15" t="s">
        <v>151</v>
      </c>
    </row>
    <row r="4" customFormat="false" ht="21.75" hidden="false" customHeight="true" outlineLevel="0" collapsed="false">
      <c r="A4" s="5" t="s">
        <v>133</v>
      </c>
      <c r="B4" s="5" t="s">
        <v>134</v>
      </c>
      <c r="C4" s="5" t="s">
        <v>135</v>
      </c>
      <c r="D4" s="5" t="s">
        <v>136</v>
      </c>
      <c r="E4" s="5" t="s">
        <v>152</v>
      </c>
    </row>
    <row r="5" customFormat="false" ht="15" hidden="false" customHeight="false" outlineLevel="0" collapsed="false">
      <c r="A5" s="6" t="s">
        <v>153</v>
      </c>
      <c r="B5" s="14"/>
      <c r="C5" s="14"/>
      <c r="D5" s="14"/>
      <c r="E5" s="27" t="n">
        <f aca="false">SUM(B5:D5)</f>
        <v>0</v>
      </c>
    </row>
    <row r="6" customFormat="false" ht="15" hidden="false" customHeight="false" outlineLevel="0" collapsed="false">
      <c r="A6" s="6" t="s">
        <v>154</v>
      </c>
      <c r="B6" s="11"/>
      <c r="C6" s="11"/>
      <c r="D6" s="11"/>
      <c r="E6" s="12" t="n">
        <f aca="false">SUM(B6:D6)</f>
        <v>0</v>
      </c>
    </row>
    <row r="7" customFormat="false" ht="15" hidden="false" customHeight="false" outlineLevel="0" collapsed="false">
      <c r="A7" s="6" t="s">
        <v>155</v>
      </c>
      <c r="B7" s="11"/>
      <c r="C7" s="11"/>
      <c r="D7" s="11"/>
      <c r="E7" s="12" t="n">
        <f aca="false">SUM(B7:D7)</f>
        <v>0</v>
      </c>
    </row>
    <row r="8" customFormat="false" ht="15" hidden="false" customHeight="false" outlineLevel="0" collapsed="false">
      <c r="A8" s="6" t="s">
        <v>156</v>
      </c>
      <c r="B8" s="11"/>
      <c r="C8" s="11"/>
      <c r="D8" s="11"/>
      <c r="E8" s="12" t="n">
        <f aca="false">SUM(B8:D8)</f>
        <v>0</v>
      </c>
    </row>
    <row r="9" customFormat="false" ht="15" hidden="false" customHeight="false" outlineLevel="0" collapsed="false">
      <c r="A9" s="6" t="s">
        <v>157</v>
      </c>
      <c r="B9" s="11"/>
      <c r="C9" s="11"/>
      <c r="D9" s="11"/>
      <c r="E9" s="12" t="n">
        <f aca="false">SUM(B9:D9)</f>
        <v>0</v>
      </c>
    </row>
    <row r="10" customFormat="false" ht="15" hidden="false" customHeight="false" outlineLevel="0" collapsed="false">
      <c r="A10" s="6" t="s">
        <v>158</v>
      </c>
      <c r="B10" s="11"/>
      <c r="C10" s="11"/>
      <c r="D10" s="11"/>
      <c r="E10" s="12" t="n">
        <f aca="false">SUM(B10:D10)</f>
        <v>0</v>
      </c>
    </row>
    <row r="11" customFormat="false" ht="15" hidden="false" customHeight="false" outlineLevel="0" collapsed="false">
      <c r="A11" s="6" t="s">
        <v>159</v>
      </c>
      <c r="B11" s="11"/>
      <c r="C11" s="11"/>
      <c r="D11" s="11"/>
      <c r="E11" s="12" t="n">
        <f aca="false">SUM(B11:D11)</f>
        <v>0</v>
      </c>
    </row>
    <row r="12" customFormat="false" ht="15" hidden="false" customHeight="false" outlineLevel="0" collapsed="false">
      <c r="A12" s="6" t="s">
        <v>160</v>
      </c>
      <c r="B12" s="12" t="n">
        <f aca="false">B6*Parametros!$B$4</f>
        <v>0</v>
      </c>
      <c r="C12" s="12" t="n">
        <f aca="false">C6*Parametros!$B$4</f>
        <v>0</v>
      </c>
      <c r="D12" s="12" t="n">
        <f aca="false">D6*Parametros!$B$4</f>
        <v>0</v>
      </c>
      <c r="E12" s="12" t="n">
        <f aca="false">SUM(B12:D12)</f>
        <v>0</v>
      </c>
    </row>
    <row r="13" customFormat="false" ht="15" hidden="false" customHeight="false" outlineLevel="0" collapsed="false">
      <c r="A13" s="6" t="s">
        <v>161</v>
      </c>
      <c r="B13" s="11"/>
      <c r="C13" s="11"/>
      <c r="D13" s="11"/>
      <c r="E13" s="12" t="n">
        <f aca="false">SUM(B13:D13)</f>
        <v>0</v>
      </c>
    </row>
    <row r="14" customFormat="false" ht="15" hidden="false" customHeight="false" outlineLevel="0" collapsed="false">
      <c r="A14" s="19" t="s">
        <v>162</v>
      </c>
      <c r="B14" s="21" t="n">
        <f aca="false">B6-SUM(B7:B13)</f>
        <v>0</v>
      </c>
      <c r="C14" s="21" t="n">
        <f aca="false">C6-SUM(C7:C13)</f>
        <v>0</v>
      </c>
      <c r="D14" s="21" t="n">
        <f aca="false">D6-SUM(D7:D13)</f>
        <v>0</v>
      </c>
      <c r="E14" s="21" t="n">
        <f aca="false">SUM(B14:D14)</f>
        <v>0</v>
      </c>
    </row>
    <row r="15" customFormat="false" ht="15" hidden="false" customHeight="false" outlineLevel="0" collapsed="false">
      <c r="A15" s="6" t="s">
        <v>163</v>
      </c>
      <c r="B15" s="17" t="str">
        <f aca="false">IF(B6&gt;0,B14/B6,"")</f>
        <v/>
      </c>
      <c r="C15" s="17" t="str">
        <f aca="false">IF(C6&gt;0,C14/C6,"")</f>
        <v/>
      </c>
      <c r="D15" s="17" t="str">
        <f aca="false">IF(D6&gt;0,D14/D6,"")</f>
        <v/>
      </c>
      <c r="E15" s="17" t="str">
        <f aca="false">IF(E6&gt;0,E14/E6,"")</f>
        <v/>
      </c>
    </row>
    <row r="16" customFormat="false" ht="15" hidden="false" customHeight="false" outlineLevel="0" collapsed="false">
      <c r="A16" s="6" t="s">
        <v>141</v>
      </c>
      <c r="B16" s="12" t="n">
        <f aca="false">Parametros!$B$11</f>
        <v>300</v>
      </c>
      <c r="C16" s="12" t="n">
        <f aca="false">Parametros!$B$11</f>
        <v>300</v>
      </c>
      <c r="D16" s="12" t="n">
        <f aca="false">Parametros!$B$11</f>
        <v>300</v>
      </c>
      <c r="E16" s="12" t="n">
        <f aca="false">SUM(B16:D16)</f>
        <v>900</v>
      </c>
    </row>
    <row r="17" customFormat="false" ht="15" hidden="false" customHeight="false" outlineLevel="0" collapsed="false">
      <c r="A17" s="19" t="s">
        <v>164</v>
      </c>
      <c r="B17" s="21" t="n">
        <f aca="false">B14-B16</f>
        <v>-300</v>
      </c>
      <c r="C17" s="21" t="n">
        <f aca="false">C14-C16</f>
        <v>-300</v>
      </c>
      <c r="D17" s="21" t="n">
        <f aca="false">D14-D16</f>
        <v>-300</v>
      </c>
      <c r="E17" s="21" t="n">
        <f aca="false">SUM(B17:D17)</f>
        <v>-900</v>
      </c>
    </row>
    <row r="18" customFormat="false" ht="15" hidden="false" customHeight="false" outlineLevel="0" collapsed="false">
      <c r="A18" s="6" t="s">
        <v>165</v>
      </c>
      <c r="B18" s="12" t="n">
        <f aca="false">SUM($B17:B17)</f>
        <v>-300</v>
      </c>
      <c r="C18" s="12" t="n">
        <f aca="false">SUM($B17:C17)</f>
        <v>-600</v>
      </c>
      <c r="D18" s="12" t="n">
        <f aca="false">SUM($B17:D17)</f>
        <v>-900</v>
      </c>
      <c r="E18" s="12" t="n">
        <f aca="false">E17</f>
        <v>-900</v>
      </c>
    </row>
    <row r="19" customFormat="false" ht="15" hidden="false" customHeight="false" outlineLevel="0" collapsed="false">
      <c r="A19" s="6" t="s">
        <v>166</v>
      </c>
      <c r="B19" s="12" t="n">
        <f aca="false">Parametros!$B$7-B18</f>
        <v>5300</v>
      </c>
      <c r="C19" s="12" t="n">
        <f aca="false">Parametros!$B$7-C18</f>
        <v>5600</v>
      </c>
      <c r="D19" s="12" t="n">
        <f aca="false">Parametros!$B$7-D18</f>
        <v>5900</v>
      </c>
      <c r="E19" s="12" t="n">
        <f aca="false">Parametros!$B$7-E17</f>
        <v>5900</v>
      </c>
    </row>
    <row r="20" customFormat="false" ht="15" hidden="false" customHeight="false" outlineLevel="0" collapsed="false">
      <c r="A20" s="6" t="s">
        <v>167</v>
      </c>
      <c r="B20" s="17" t="n">
        <f aca="false">IF(Parametros!$B$7&gt;0,B18/Parametros!$B$7,"")</f>
        <v>-0.06</v>
      </c>
      <c r="C20" s="17" t="n">
        <f aca="false">IF(Parametros!$B$7&gt;0,C18/Parametros!$B$7,"")</f>
        <v>-0.12</v>
      </c>
      <c r="D20" s="17" t="n">
        <f aca="false">IF(Parametros!$B$7&gt;0,D18/Parametros!$B$7,"")</f>
        <v>-0.18</v>
      </c>
      <c r="E20" s="17" t="n">
        <f aca="false">IF(Parametros!$B$7&gt;0,E17/Parametros!$B$7,"")</f>
        <v>-0.18</v>
      </c>
    </row>
    <row r="21" customFormat="false" ht="15" hidden="false" customHeight="false" outlineLevel="0" collapsed="false">
      <c r="A21" s="6" t="s">
        <v>168</v>
      </c>
      <c r="B21" s="12" t="str">
        <f aca="false">IF(B5&gt;0,B6/B5,"")</f>
        <v/>
      </c>
      <c r="C21" s="12" t="str">
        <f aca="false">IF(C5&gt;0,C6/C5,"")</f>
        <v/>
      </c>
      <c r="D21" s="12" t="str">
        <f aca="false">IF(D5&gt;0,D6/D5,"")</f>
        <v/>
      </c>
      <c r="E21" s="12" t="str">
        <f aca="false">IF(E5&gt;0,E6/E5,"")</f>
        <v/>
      </c>
    </row>
    <row r="22" customFormat="false" ht="15" hidden="false" customHeight="false" outlineLevel="0" collapsed="false">
      <c r="A22" s="6" t="s">
        <v>169</v>
      </c>
      <c r="B22" s="17" t="str">
        <f aca="false">IF(B6&gt;0,B13/B6,"")</f>
        <v/>
      </c>
      <c r="C22" s="17" t="str">
        <f aca="false">IF(C6&gt;0,C13/C6,"")</f>
        <v/>
      </c>
      <c r="D22" s="17" t="str">
        <f aca="false">IF(D6&gt;0,D13/D6,"")</f>
        <v/>
      </c>
      <c r="E22" s="17" t="str">
        <f aca="false">IF(E6&gt;0,E13/E6,"")</f>
        <v/>
      </c>
    </row>
    <row r="24" customFormat="false" ht="15" hidden="false" customHeight="false" outlineLevel="0" collapsed="false">
      <c r="A24" s="15" t="s">
        <v>170</v>
      </c>
    </row>
    <row r="26" customFormat="false" ht="15" hidden="false" customHeight="false" outlineLevel="0" collapsed="false">
      <c r="A26" s="26" t="s">
        <v>171</v>
      </c>
    </row>
    <row r="27" customFormat="false" ht="15" hidden="false" customHeight="false" outlineLevel="0" collapsed="false">
      <c r="A27" s="6" t="s">
        <v>172</v>
      </c>
      <c r="B27" s="11"/>
      <c r="C27" s="11"/>
      <c r="D27" s="11"/>
      <c r="E27" s="12" t="n">
        <f aca="false">SUM(B27:D27)</f>
        <v>0</v>
      </c>
    </row>
    <row r="28" customFormat="false" ht="15" hidden="false" customHeight="false" outlineLevel="0" collapsed="false">
      <c r="A28" s="6" t="s">
        <v>173</v>
      </c>
      <c r="B28" s="11"/>
      <c r="C28" s="11"/>
      <c r="D28" s="11"/>
      <c r="E28" s="12" t="n">
        <f aca="false">SUM(B28:D28)</f>
        <v>0</v>
      </c>
    </row>
    <row r="29" customFormat="false" ht="15" hidden="false" customHeight="false" outlineLevel="0" collapsed="false">
      <c r="A29" s="6" t="s">
        <v>174</v>
      </c>
      <c r="B29" s="12" t="n">
        <f aca="false">B6-B27-B28</f>
        <v>0</v>
      </c>
      <c r="C29" s="12" t="n">
        <f aca="false">C6-C27-C28</f>
        <v>0</v>
      </c>
      <c r="D29" s="12" t="n">
        <f aca="false">D6-D27-D28</f>
        <v>0</v>
      </c>
      <c r="E29" s="12" t="n">
        <f aca="false">E6-E27-E28</f>
        <v>0</v>
      </c>
    </row>
  </sheetData>
  <conditionalFormatting sqref="B17:E17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8"/>
  </cols>
  <sheetData>
    <row r="1" customFormat="false" ht="17.35" hidden="false" customHeight="false" outlineLevel="0" collapsed="false">
      <c r="A1" s="4" t="s">
        <v>175</v>
      </c>
    </row>
    <row r="2" customFormat="false" ht="15" hidden="false" customHeight="false" outlineLevel="0" collapsed="false">
      <c r="A2" s="15" t="s">
        <v>176</v>
      </c>
    </row>
    <row r="4" customFormat="false" ht="15" hidden="false" customHeight="false" outlineLevel="0" collapsed="false">
      <c r="A4" s="28" t="s">
        <v>177</v>
      </c>
      <c r="B4" s="12" t="n">
        <f aca="false">Parametros!$B$7/Parametros!$B$8</f>
        <v>1666.66666666667</v>
      </c>
    </row>
    <row r="5" customFormat="false" ht="15" hidden="false" customHeight="false" outlineLevel="0" collapsed="false">
      <c r="A5" s="28" t="s">
        <v>178</v>
      </c>
      <c r="B5" s="12" t="n">
        <f aca="false">Parametros!$B$11</f>
        <v>300</v>
      </c>
    </row>
    <row r="6" customFormat="false" ht="15" hidden="false" customHeight="false" outlineLevel="0" collapsed="false">
      <c r="A6" s="28" t="s">
        <v>179</v>
      </c>
      <c r="B6" s="21" t="n">
        <f aca="false">B4+B5</f>
        <v>1966.66666666667</v>
      </c>
    </row>
    <row r="7" customFormat="false" ht="23.85" hidden="false" customHeight="false" outlineLevel="0" collapsed="false">
      <c r="A7" s="29" t="s">
        <v>180</v>
      </c>
      <c r="B7" s="12" t="n">
        <f aca="false">2*Parametros!$B$7/(Parametros!$B$8+1)</f>
        <v>2500</v>
      </c>
    </row>
    <row r="8" customFormat="false" ht="23.85" hidden="false" customHeight="false" outlineLevel="0" collapsed="false">
      <c r="A8" s="29" t="s">
        <v>181</v>
      </c>
      <c r="B8" s="21" t="n">
        <f aca="false">B7+B5</f>
        <v>2800</v>
      </c>
    </row>
    <row r="10" customFormat="false" ht="48" hidden="false" customHeight="true" outlineLevel="0" collapsed="false">
      <c r="A10" s="5" t="s">
        <v>182</v>
      </c>
      <c r="B10" s="5" t="s">
        <v>183</v>
      </c>
      <c r="C10" s="5" t="s">
        <v>184</v>
      </c>
      <c r="D10" s="5" t="s">
        <v>185</v>
      </c>
      <c r="E10" s="5" t="s">
        <v>186</v>
      </c>
      <c r="F10" s="5" t="s">
        <v>187</v>
      </c>
      <c r="G10" s="5" t="s">
        <v>188</v>
      </c>
    </row>
    <row r="11" customFormat="false" ht="15" hidden="false" customHeight="false" outlineLevel="0" collapsed="false">
      <c r="A11" s="13" t="n">
        <v>0.15</v>
      </c>
      <c r="B11" s="12" t="n">
        <f aca="false">IF(A11&gt;0,$B$6/A11,"")</f>
        <v>13111.1111111111</v>
      </c>
      <c r="C11" s="30" t="n">
        <f aca="false">IF(A11&gt;0,B11/Parametros!$B$14,"")</f>
        <v>124.867724867725</v>
      </c>
      <c r="D11" s="31" t="n">
        <f aca="false">IF(AND(A11&gt;0,Parametros!$B$15&gt;0),C11/Parametros!$B$15,"")</f>
        <v>3.567649281935</v>
      </c>
      <c r="E11" s="12" t="n">
        <f aca="false">IF(A11&gt;0,$B$8/A11,"")</f>
        <v>18666.6666666667</v>
      </c>
      <c r="F11" s="30" t="n">
        <f aca="false">IF(A11&gt;0,E11/Parametros!$B$14,"")</f>
        <v>177.777777777778</v>
      </c>
      <c r="G11" s="31" t="n">
        <f aca="false">IF(AND(A11&gt;0,Parametros!$B$15&gt;0),F11/Parametros!$B$15,"")</f>
        <v>5.07936507936508</v>
      </c>
    </row>
    <row r="12" customFormat="false" ht="15" hidden="false" customHeight="false" outlineLevel="0" collapsed="false">
      <c r="A12" s="13" t="n">
        <v>0.1</v>
      </c>
      <c r="B12" s="12" t="n">
        <f aca="false">IF(A12&gt;0,$B$6/A12,"")</f>
        <v>19666.6666666667</v>
      </c>
      <c r="C12" s="30" t="n">
        <f aca="false">IF(A12&gt;0,B12/Parametros!$B$14,"")</f>
        <v>187.301587301587</v>
      </c>
      <c r="D12" s="31" t="n">
        <f aca="false">IF(AND(A12&gt;0,Parametros!$B$15&gt;0),C12/Parametros!$B$15,"")</f>
        <v>5.3514739229025</v>
      </c>
      <c r="E12" s="12" t="n">
        <f aca="false">IF(A12&gt;0,$B$8/A12,"")</f>
        <v>28000</v>
      </c>
      <c r="F12" s="30" t="n">
        <f aca="false">IF(A12&gt;0,E12/Parametros!$B$14,"")</f>
        <v>266.666666666667</v>
      </c>
      <c r="G12" s="31" t="n">
        <f aca="false">IF(AND(A12&gt;0,Parametros!$B$15&gt;0),F12/Parametros!$B$15,"")</f>
        <v>7.61904761904762</v>
      </c>
    </row>
    <row r="13" customFormat="false" ht="15" hidden="false" customHeight="false" outlineLevel="0" collapsed="false">
      <c r="A13" s="13" t="n">
        <v>0.07</v>
      </c>
      <c r="B13" s="12" t="n">
        <f aca="false">IF(A13&gt;0,$B$6/A13,"")</f>
        <v>28095.2380952381</v>
      </c>
      <c r="C13" s="30" t="n">
        <f aca="false">IF(A13&gt;0,B13/Parametros!$B$14,"")</f>
        <v>267.573696145125</v>
      </c>
      <c r="D13" s="31" t="n">
        <f aca="false">IF(AND(A13&gt;0,Parametros!$B$15&gt;0),C13/Parametros!$B$15,"")</f>
        <v>7.64496274700356</v>
      </c>
      <c r="E13" s="12" t="n">
        <f aca="false">IF(A13&gt;0,$B$8/A13,"")</f>
        <v>40000</v>
      </c>
      <c r="F13" s="30" t="n">
        <f aca="false">IF(A13&gt;0,E13/Parametros!$B$14,"")</f>
        <v>380.952380952381</v>
      </c>
      <c r="G13" s="31" t="n">
        <f aca="false">IF(AND(A13&gt;0,Parametros!$B$15&gt;0),F13/Parametros!$B$15,"")</f>
        <v>10.8843537414966</v>
      </c>
    </row>
    <row r="15" customFormat="false" ht="15" hidden="false" customHeight="false" outlineLevel="0" collapsed="false">
      <c r="A15" s="15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2026-10-09T16:05:47Z</dcterms:created>
  <dc:creator>openpyxl</dc:creator>
  <dc:description/>
  <dc:language>en-US</dc:language>
  <cp:lastModifiedBy/>
  <dcterms:modified xsi:type="dcterms:W3CDTF">2026-10-09T16:05:47Z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